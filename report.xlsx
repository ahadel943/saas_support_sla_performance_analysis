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analysis" sheetId="1" r:id="rId1"/>
    <sheet name="charts" sheetId="3" r:id="rId2"/>
  </sheets>
  <calcPr calcId="162913"/>
  <pivotCaches>
    <pivotCache cacheId="0" r:id="rId3"/>
    <pivotCache cacheId="1" r:id="rId4"/>
    <pivotCache cacheId="2" r:id="rId5"/>
    <pivotCache cacheId="3" r:id="rId6"/>
    <pivotCache cacheId="4" r:id="rId7"/>
    <pivotCache cacheId="5" r:id="rId8"/>
    <pivotCache cacheId="6" r:id="rId9"/>
    <pivotCache cacheId="7" r:id="rId10"/>
    <pivotCache cacheId="8" r:id="rId11"/>
    <pivotCache cacheId="9" r:id="rId12"/>
    <pivotCache cacheId="10" r:id="rId13"/>
    <pivotCache cacheId="11" r:id="rId14"/>
    <pivotCache cacheId="21" r:id="rId15"/>
    <pivotCache cacheId="40" r:id="rId16"/>
    <pivotCache cacheId="50" r:id="rId17"/>
    <pivotCache cacheId="75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support_tickets_369da7e7-30ca-4639-8b02-002fd327786c" name="raw_support_tickets" connection="Query - raw_support_tickets"/>
        </x15:modelTables>
      </x15:dataModel>
    </ext>
  </extLst>
</workbook>
</file>

<file path=xl/connections.xml><?xml version="1.0" encoding="utf-8"?>
<connections xmlns="http://schemas.openxmlformats.org/spreadsheetml/2006/main">
  <connection id="1" name="Query - raw_support_tickets" description="Connection to the 'raw_support_tickets' query in the workbook." type="100" refreshedVersion="6" minRefreshableVersion="5">
    <extLst>
      <ext xmlns:x15="http://schemas.microsoft.com/office/spreadsheetml/2010/11/main" uri="{DE250136-89BD-433C-8126-D09CA5730AF9}">
        <x15:connection id="c71fd76d-3828-49b7-97aa-5b6f19b681a5"/>
      </ext>
    </extLst>
  </connection>
  <connection id="2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<sst xmlns="http://schemas.openxmlformats.org/spreadsheetml/2006/main" count="170" uniqueCount="29">
  <si>
    <t>Count of ticket_id</t>
  </si>
  <si>
    <t>Row Labels</t>
  </si>
  <si>
    <t>Account &amp; Subscription</t>
  </si>
  <si>
    <t>Billing &amp; Payments</t>
  </si>
  <si>
    <t>Bugs &amp; Errors</t>
  </si>
  <si>
    <t>Data &amp; Reports</t>
  </si>
  <si>
    <t>Integrations</t>
  </si>
  <si>
    <t>Login &amp; Access</t>
  </si>
  <si>
    <t>Grand Total</t>
  </si>
  <si>
    <t>Breached</t>
  </si>
  <si>
    <t>Cancelled</t>
  </si>
  <si>
    <t>Overdue - Open</t>
  </si>
  <si>
    <t>Pending - Within SLA</t>
  </si>
  <si>
    <t>Within SLA</t>
  </si>
  <si>
    <t>_resolved_breached_tickets</t>
  </si>
  <si>
    <t>_resolved_within_sla_tickets</t>
  </si>
  <si>
    <t>_total_resolved_tickets</t>
  </si>
  <si>
    <t>_overall_breach_rate</t>
  </si>
  <si>
    <t>P1</t>
  </si>
  <si>
    <t>P2</t>
  </si>
  <si>
    <t>P3</t>
  </si>
  <si>
    <t>P4</t>
  </si>
  <si>
    <t>Column Labels</t>
  </si>
  <si>
    <t>Team Alpha</t>
  </si>
  <si>
    <t>Team Beta</t>
  </si>
  <si>
    <t>Team Gamma</t>
  </si>
  <si>
    <t>Resolved-Breached Tickets</t>
  </si>
  <si>
    <t>Resolved Within-SLA Tickets</t>
  </si>
  <si>
    <t>Issue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</si>
</sst>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%;\-0.00%;0.0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2" borderId="0" xfId="0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1" fillId="0" borderId="0" xfId="0" applyNumberFormat="1" applyFont="1"/>
    <xf numFmtId="0" fontId="1" fillId="0" borderId="0" xfId="0" applyNumberFormat="1" applyFont="1"/>
    <xf numFmtId="3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3" fontId="1" fillId="2" borderId="0" xfId="0" applyNumberFormat="1" applyFont="1" applyFill="1"/>
    <xf numFmtId="3" fontId="1" fillId="0" borderId="0" xfId="0" applyNumberFormat="1" applyFont="1" applyFill="1"/>
    <xf numFmtId="0" fontId="0" fillId="2" borderId="0" xfId="0" applyFill="1" applyAlignment="1">
      <alignment horizontal="left"/>
    </xf>
    <xf numFmtId="164" fontId="1" fillId="2" borderId="0" xfId="0" applyNumberFormat="1" applyFont="1" applyFill="1"/>
    <xf numFmtId="164" fontId="0" fillId="2" borderId="0" xfId="0" applyNumberFormat="1" applyFill="1"/>
    <xf numFmtId="0" fontId="0" fillId="0" borderId="0" xfId="0" applyAlignment="1">
      <alignment horizontal="left" indent="1"/>
    </xf>
    <xf numFmtId="0" fontId="0" fillId="2" borderId="0" xfId="0" applyFill="1" applyAlignment="1">
      <alignment horizontal="left" indent="1"/>
    </xf>
    <xf numFmtId="3" fontId="0" fillId="2" borderId="0" xfId="0" applyNumberFormat="1" applyFill="1"/>
    <xf numFmtId="164" fontId="0" fillId="0" borderId="0" xfId="0" applyNumberFormat="1" applyFill="1"/>
    <xf numFmtId="164" fontId="0" fillId="3" borderId="0" xfId="0" applyNumberFormat="1" applyFill="1"/>
    <xf numFmtId="0" fontId="0" fillId="3" borderId="0" xfId="0" applyFill="1" applyAlignment="1">
      <alignment horizontal="left" indent="1"/>
    </xf>
    <xf numFmtId="3" fontId="0" fillId="3" borderId="0" xfId="0" applyNumberFormat="1" applyFill="1"/>
    <xf numFmtId="10" fontId="0" fillId="0" borderId="0" xfId="0" applyNumberFormat="1"/>
    <xf numFmtId="10" fontId="4" fillId="4" borderId="0" xfId="0" applyNumberFormat="1" applyFont="1" applyFill="1" applyBorder="1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5" fillId="0" borderId="0" xfId="0" applyFont="1" applyBorder="1"/>
  </cellXfs>
  <cellStyles count="1">
    <cellStyle name="Normal" xfId="0" builtinId="0"/>
  </cellStyles>
  <dxfs count="149">
    <dxf>
      <font>
        <b/>
        <strike val="0"/>
        <outline val="0"/>
        <shadow val="0"/>
        <u val="none"/>
        <vertAlign val="baseline"/>
        <sz val="14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b/>
        <strike val="0"/>
        <outline val="0"/>
        <shadow val="0"/>
        <u val="none"/>
        <vertAlign val="baseline"/>
        <sz val="14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/>
      </font>
    </dxf>
    <dxf>
      <fill>
        <patternFill>
          <bgColor auto="1"/>
        </patternFill>
      </fill>
    </dxf>
    <dxf>
      <font>
        <b val="0"/>
      </font>
    </dxf>
    <dxf>
      <fill>
        <patternFill>
          <bgColor auto="1"/>
        </patternFill>
      </fill>
    </dxf>
    <dxf>
      <font>
        <b/>
      </font>
    </dxf>
    <dxf>
      <numFmt numFmtId="3" formatCode="#,##0"/>
    </dxf>
    <dxf>
      <numFmt numFmtId="165" formatCode="#,##0.0"/>
    </dxf>
    <dxf>
      <numFmt numFmtId="4" formatCode="#,##0.00"/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colors>
    <mruColors>
      <color rgb="FFB41805"/>
      <color rgb="FFFDA4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6.xml"/><Relationship Id="rId13" Type="http://schemas.openxmlformats.org/officeDocument/2006/relationships/pivotCacheDefinition" Target="pivotCache/pivotCacheDefinition11.xml"/><Relationship Id="rId18" Type="http://schemas.openxmlformats.org/officeDocument/2006/relationships/pivotCacheDefinition" Target="pivotCache/pivotCacheDefinition16.xml"/><Relationship Id="rId3" Type="http://schemas.openxmlformats.org/officeDocument/2006/relationships/pivotCacheDefinition" Target="pivotCache/pivotCacheDefinition1.xml"/><Relationship Id="rId21" Type="http://schemas.openxmlformats.org/officeDocument/2006/relationships/styles" Target="styles.xml"/><Relationship Id="rId7" Type="http://schemas.openxmlformats.org/officeDocument/2006/relationships/pivotCacheDefinition" Target="pivotCache/pivotCacheDefinition5.xml"/><Relationship Id="rId12" Type="http://schemas.openxmlformats.org/officeDocument/2006/relationships/pivotCacheDefinition" Target="pivotCache/pivotCacheDefinition10.xml"/><Relationship Id="rId17" Type="http://schemas.openxmlformats.org/officeDocument/2006/relationships/pivotCacheDefinition" Target="pivotCache/pivotCacheDefinition1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4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pivotCacheDefinition" Target="pivotCache/pivotCacheDefinition9.xml"/><Relationship Id="rId24" Type="http://schemas.openxmlformats.org/officeDocument/2006/relationships/customXml" Target="../customXml/item1.xml"/><Relationship Id="rId5" Type="http://schemas.openxmlformats.org/officeDocument/2006/relationships/pivotCacheDefinition" Target="pivotCache/pivotCacheDefinition3.xml"/><Relationship Id="rId15" Type="http://schemas.openxmlformats.org/officeDocument/2006/relationships/pivotCacheDefinition" Target="pivotCache/pivotCacheDefinition13.xml"/><Relationship Id="rId23" Type="http://schemas.openxmlformats.org/officeDocument/2006/relationships/powerPivotData" Target="model/item.data"/><Relationship Id="rId10" Type="http://schemas.openxmlformats.org/officeDocument/2006/relationships/pivotCacheDefinition" Target="pivotCache/pivotCacheDefinition8.xml"/><Relationship Id="rId19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7.xml"/><Relationship Id="rId14" Type="http://schemas.openxmlformats.org/officeDocument/2006/relationships/pivotCacheDefinition" Target="pivotCache/pivotCacheDefinition12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[report.xlsx]charts!PivotTable19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charts!$A$4:$A$10</c:f>
              <c:strCache>
                <c:ptCount val="6"/>
                <c:pt idx="0">
                  <c:v>Bugs &amp; Errors</c:v>
                </c:pt>
                <c:pt idx="1">
                  <c:v>Integrations</c:v>
                </c:pt>
                <c:pt idx="2">
                  <c:v>Data &amp; Reports</c:v>
                </c:pt>
                <c:pt idx="3">
                  <c:v>Billing &amp; Payments</c:v>
                </c:pt>
                <c:pt idx="4">
                  <c:v>Login &amp; Access</c:v>
                </c:pt>
                <c:pt idx="5">
                  <c:v>Account &amp; Subscription</c:v>
                </c:pt>
              </c:strCache>
            </c:strRef>
          </c:cat>
          <c:val>
            <c:numRef>
              <c:f>charts!$B$4:$B$10</c:f>
              <c:numCache>
                <c:formatCode>0.00%;\-0.00%;0.00%</c:formatCode>
                <c:ptCount val="6"/>
                <c:pt idx="0">
                  <c:v>0.37810945273631841</c:v>
                </c:pt>
                <c:pt idx="1">
                  <c:v>0.3645320197044335</c:v>
                </c:pt>
                <c:pt idx="2">
                  <c:v>0.22294372294372294</c:v>
                </c:pt>
                <c:pt idx="3">
                  <c:v>0.20947630922693267</c:v>
                </c:pt>
                <c:pt idx="4">
                  <c:v>0.17718446601941748</c:v>
                </c:pt>
                <c:pt idx="5">
                  <c:v>0.15196078431372548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D0-437B-BDFF-13E4E7D12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7165135"/>
        <c:axId val="1607170127"/>
      </c:barChart>
      <c:catAx>
        <c:axId val="1607165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170127"/>
        <c:crosses val="autoZero"/>
        <c:auto val="1"/>
        <c:lblAlgn val="ctr"/>
        <c:lblOffset val="100"/>
        <c:noMultiLvlLbl val="0"/>
      </c:catAx>
      <c:valAx>
        <c:axId val="160717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;\-0.00%;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16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[report.xlsx]charts!PivotTable1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charts!$B$20</c:f>
              <c:strCache>
                <c:ptCount val="1"/>
                <c:pt idx="0">
                  <c:v>Resolved Within-SLA Tickets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charts!$A$21:$A$27</c:f>
              <c:strCache>
                <c:ptCount val="6"/>
                <c:pt idx="0">
                  <c:v>Account &amp; Subscription</c:v>
                </c:pt>
                <c:pt idx="1">
                  <c:v>Billing &amp; Payments</c:v>
                </c:pt>
                <c:pt idx="2">
                  <c:v>Bugs &amp; Errors</c:v>
                </c:pt>
                <c:pt idx="3">
                  <c:v>Data &amp; Reports</c:v>
                </c:pt>
                <c:pt idx="4">
                  <c:v>Integrations</c:v>
                </c:pt>
                <c:pt idx="5">
                  <c:v>Login &amp; Access</c:v>
                </c:pt>
              </c:strCache>
            </c:strRef>
          </c:cat>
          <c:val>
            <c:numRef>
              <c:f>charts!$B$21:$B$27</c:f>
              <c:numCache>
                <c:formatCode>#,##0</c:formatCode>
                <c:ptCount val="6"/>
                <c:pt idx="0">
                  <c:v>346</c:v>
                </c:pt>
                <c:pt idx="1">
                  <c:v>317</c:v>
                </c:pt>
                <c:pt idx="2">
                  <c:v>250</c:v>
                </c:pt>
                <c:pt idx="3">
                  <c:v>359</c:v>
                </c:pt>
                <c:pt idx="4">
                  <c:v>258</c:v>
                </c:pt>
                <c:pt idx="5">
                  <c:v>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54-4C48-BE59-B47B2CAAFAB2}"/>
            </c:ext>
          </c:extLst>
        </c:ser>
        <c:ser>
          <c:idx val="1"/>
          <c:order val="1"/>
          <c:tx>
            <c:strRef>
              <c:f>charts!$C$20</c:f>
              <c:strCache>
                <c:ptCount val="1"/>
                <c:pt idx="0">
                  <c:v>Resolved-Breached Tickets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charts!$A$21:$A$27</c:f>
              <c:strCache>
                <c:ptCount val="6"/>
                <c:pt idx="0">
                  <c:v>Account &amp; Subscription</c:v>
                </c:pt>
                <c:pt idx="1">
                  <c:v>Billing &amp; Payments</c:v>
                </c:pt>
                <c:pt idx="2">
                  <c:v>Bugs &amp; Errors</c:v>
                </c:pt>
                <c:pt idx="3">
                  <c:v>Data &amp; Reports</c:v>
                </c:pt>
                <c:pt idx="4">
                  <c:v>Integrations</c:v>
                </c:pt>
                <c:pt idx="5">
                  <c:v>Login &amp; Access</c:v>
                </c:pt>
              </c:strCache>
            </c:strRef>
          </c:cat>
          <c:val>
            <c:numRef>
              <c:f>charts!$C$21:$C$27</c:f>
              <c:numCache>
                <c:formatCode>#,##0</c:formatCode>
                <c:ptCount val="6"/>
                <c:pt idx="0">
                  <c:v>62</c:v>
                </c:pt>
                <c:pt idx="1">
                  <c:v>84</c:v>
                </c:pt>
                <c:pt idx="2">
                  <c:v>152</c:v>
                </c:pt>
                <c:pt idx="3">
                  <c:v>103</c:v>
                </c:pt>
                <c:pt idx="4">
                  <c:v>148</c:v>
                </c:pt>
                <c:pt idx="5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54-4C48-BE59-B47B2CAAF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4807455"/>
        <c:axId val="1544807039"/>
      </c:barChart>
      <c:catAx>
        <c:axId val="1544807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807039"/>
        <c:crosses val="autoZero"/>
        <c:auto val="1"/>
        <c:lblAlgn val="ctr"/>
        <c:lblOffset val="100"/>
        <c:noMultiLvlLbl val="0"/>
      </c:catAx>
      <c:valAx>
        <c:axId val="154480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807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[report.xlsx]charts!PivotTable3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charts!$A$55:$A$57</c:f>
              <c:strCache>
                <c:ptCount val="3"/>
                <c:pt idx="0">
                  <c:v>Team Alpha</c:v>
                </c:pt>
                <c:pt idx="1">
                  <c:v>Team Beta</c:v>
                </c:pt>
                <c:pt idx="2">
                  <c:v>Team Gamma</c:v>
                </c:pt>
              </c:strCache>
            </c:strRef>
          </c:cat>
          <c:val>
            <c:numRef>
              <c:f>charts!$B$55:$B$57</c:f>
              <c:numCache>
                <c:formatCode>0.00%;\-0.00%;0.00%</c:formatCode>
                <c:ptCount val="3"/>
                <c:pt idx="0">
                  <c:v>0.21695760598503741</c:v>
                </c:pt>
                <c:pt idx="1">
                  <c:v>0.23563218390804597</c:v>
                </c:pt>
                <c:pt idx="2">
                  <c:v>0.2967032967032967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0-405E-B8CD-2C641FEE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9273807"/>
        <c:axId val="1546523391"/>
      </c:barChart>
      <c:catAx>
        <c:axId val="86927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523391"/>
        <c:crosses val="autoZero"/>
        <c:auto val="1"/>
        <c:lblAlgn val="ctr"/>
        <c:lblOffset val="100"/>
        <c:noMultiLvlLbl val="0"/>
      </c:catAx>
      <c:valAx>
        <c:axId val="154652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;\-0.00%;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273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[report.xlsx]charts!PivotTable4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charts!$B$69:$B$70</c:f>
              <c:strCache>
                <c:ptCount val="1"/>
                <c:pt idx="0">
                  <c:v>Team Alpha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charts!$A$71:$A$76</c:f>
              <c:strCache>
                <c:ptCount val="6"/>
                <c:pt idx="0">
                  <c:v>Account &amp; Subscription</c:v>
                </c:pt>
                <c:pt idx="1">
                  <c:v>Billing &amp; Payments</c:v>
                </c:pt>
                <c:pt idx="2">
                  <c:v>Bugs &amp; Errors</c:v>
                </c:pt>
                <c:pt idx="3">
                  <c:v>Data &amp; Reports</c:v>
                </c:pt>
                <c:pt idx="4">
                  <c:v>Integrations</c:v>
                </c:pt>
                <c:pt idx="5">
                  <c:v>Login &amp; Access</c:v>
                </c:pt>
              </c:strCache>
            </c:strRef>
          </c:cat>
          <c:val>
            <c:numRef>
              <c:f>charts!$B$71:$B$76</c:f>
              <c:numCache>
                <c:formatCode>0.00%;\-0.00%;0.00%</c:formatCode>
                <c:ptCount val="6"/>
                <c:pt idx="0">
                  <c:v>0.1357142857142857</c:v>
                </c:pt>
                <c:pt idx="1">
                  <c:v>0.1796875</c:v>
                </c:pt>
                <c:pt idx="2">
                  <c:v>0.33076923076923076</c:v>
                </c:pt>
                <c:pt idx="3">
                  <c:v>0.22302158273381295</c:v>
                </c:pt>
                <c:pt idx="4">
                  <c:v>0.34188034188034189</c:v>
                </c:pt>
                <c:pt idx="5">
                  <c:v>0.12162162162162163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6-4A71-85EC-6DE89325965A}"/>
            </c:ext>
          </c:extLst>
        </c:ser>
        <c:ser>
          <c:idx val="1"/>
          <c:order val="1"/>
          <c:tx>
            <c:strRef>
              <c:f>charts!$C$69:$C$70</c:f>
              <c:strCache>
                <c:ptCount val="1"/>
                <c:pt idx="0">
                  <c:v>Team Beta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charts!$A$71:$A$76</c:f>
              <c:strCache>
                <c:ptCount val="6"/>
                <c:pt idx="0">
                  <c:v>Account &amp; Subscription</c:v>
                </c:pt>
                <c:pt idx="1">
                  <c:v>Billing &amp; Payments</c:v>
                </c:pt>
                <c:pt idx="2">
                  <c:v>Bugs &amp; Errors</c:v>
                </c:pt>
                <c:pt idx="3">
                  <c:v>Data &amp; Reports</c:v>
                </c:pt>
                <c:pt idx="4">
                  <c:v>Integrations</c:v>
                </c:pt>
                <c:pt idx="5">
                  <c:v>Login &amp; Access</c:v>
                </c:pt>
              </c:strCache>
            </c:strRef>
          </c:cat>
          <c:val>
            <c:numRef>
              <c:f>charts!$C$71:$C$76</c:f>
              <c:numCache>
                <c:formatCode>0.00%;\-0.00%;0.00%</c:formatCode>
                <c:ptCount val="6"/>
                <c:pt idx="0">
                  <c:v>0.13385826771653545</c:v>
                </c:pt>
                <c:pt idx="1">
                  <c:v>0.19696969696969696</c:v>
                </c:pt>
                <c:pt idx="2">
                  <c:v>0.36734693877551022</c:v>
                </c:pt>
                <c:pt idx="3">
                  <c:v>0.20496894409937888</c:v>
                </c:pt>
                <c:pt idx="4">
                  <c:v>0.32500000000000001</c:v>
                </c:pt>
                <c:pt idx="5">
                  <c:v>0.16083916083916083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A6-4A71-85EC-6DE89325965A}"/>
            </c:ext>
          </c:extLst>
        </c:ser>
        <c:ser>
          <c:idx val="2"/>
          <c:order val="2"/>
          <c:tx>
            <c:strRef>
              <c:f>charts!$D$69:$D$70</c:f>
              <c:strCache>
                <c:ptCount val="1"/>
                <c:pt idx="0">
                  <c:v>Team 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charts!$A$71:$A$76</c:f>
              <c:strCache>
                <c:ptCount val="6"/>
                <c:pt idx="0">
                  <c:v>Account &amp; Subscription</c:v>
                </c:pt>
                <c:pt idx="1">
                  <c:v>Billing &amp; Payments</c:v>
                </c:pt>
                <c:pt idx="2">
                  <c:v>Bugs &amp; Errors</c:v>
                </c:pt>
                <c:pt idx="3">
                  <c:v>Data &amp; Reports</c:v>
                </c:pt>
                <c:pt idx="4">
                  <c:v>Integrations</c:v>
                </c:pt>
                <c:pt idx="5">
                  <c:v>Login &amp; Access</c:v>
                </c:pt>
              </c:strCache>
            </c:strRef>
          </c:cat>
          <c:val>
            <c:numRef>
              <c:f>charts!$D$71:$D$76</c:f>
              <c:numCache>
                <c:formatCode>0.00%;\-0.00%;0.00%</c:formatCode>
                <c:ptCount val="6"/>
                <c:pt idx="0">
                  <c:v>0.18439716312056736</c:v>
                </c:pt>
                <c:pt idx="1">
                  <c:v>0.24822695035460993</c:v>
                </c:pt>
                <c:pt idx="2">
                  <c:v>0.44</c:v>
                </c:pt>
                <c:pt idx="3">
                  <c:v>0.24074074074074073</c:v>
                </c:pt>
                <c:pt idx="4">
                  <c:v>0.43410852713178294</c:v>
                </c:pt>
                <c:pt idx="5">
                  <c:v>0.26446280991735538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A6-4A71-85EC-6DE893259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1333567"/>
        <c:axId val="1551334815"/>
      </c:barChart>
      <c:catAx>
        <c:axId val="155133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1334815"/>
        <c:crosses val="autoZero"/>
        <c:auto val="1"/>
        <c:lblAlgn val="ctr"/>
        <c:lblOffset val="100"/>
        <c:noMultiLvlLbl val="0"/>
      </c:catAx>
      <c:valAx>
        <c:axId val="155133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;\-0.00%;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1333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271462</xdr:colOff>
      <xdr:row>1</xdr:row>
      <xdr:rowOff>133350</xdr:rowOff>
    </xdr:from>
    <xdr:to>
      <xdr:col>9</xdr:col>
      <xdr:colOff>576262</xdr:colOff>
      <xdr:row>16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166687</xdr:colOff>
      <xdr:row>16</xdr:row>
      <xdr:rowOff>123825</xdr:rowOff>
    </xdr:from>
    <xdr:to>
      <xdr:col>11</xdr:col>
      <xdr:colOff>471487</xdr:colOff>
      <xdr:row>31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80962</xdr:colOff>
      <xdr:row>52</xdr:row>
      <xdr:rowOff>9525</xdr:rowOff>
    </xdr:from>
    <xdr:to>
      <xdr:col>11</xdr:col>
      <xdr:colOff>376237</xdr:colOff>
      <xdr:row>66</xdr:row>
      <xdr:rowOff>85725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271462</xdr:colOff>
      <xdr:row>67</xdr:row>
      <xdr:rowOff>133350</xdr:rowOff>
    </xdr:from>
    <xdr:to>
      <xdr:col>10</xdr:col>
      <xdr:colOff>4762</xdr:colOff>
      <xdr:row>82</xdr:row>
      <xdr:rowOff>19050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uthor" refreshedDate="46319.823357060188" backgroundQuery="1" createdVersion="6" refreshedVersion="6" minRefreshableVersion="3" recordCount="0" supportSubquery="1" supportAdvancedDrill="1">
  <cacheSource type="external" connectionId="2"/>
  <cacheFields count="1">
    <cacheField name="[Measures].[_total_resolved_tickets]" caption="_total_resolved_tickets" numFmtId="0" hierarchy="17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 oneField="1">
      <fieldsUsage count="1">
        <fieldUsage x="0"/>
      </fieldsUsage>
    </cacheHierarchy>
    <cacheHierarchy uniqueName="[Measures].[_overall_breach_rate]" caption="_overall_breach_rate" measure="1" displayFolder="" measureGroup="raw_support_tickets" count="0"/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uthor" refreshedDate="46319.82140335648" backgroundQuery="1" createdVersion="6" refreshedVersion="6" minRefreshableVersion="3" recordCount="0" supportSubquery="1" supportAdvancedDrill="1">
  <cacheSource type="external" connectionId="2"/>
  <cacheFields count="1">
    <cacheField name="[Measures].[_resolved_within_sla_tickets]" caption="_resolved_within_sla_tickets" numFmtId="0" hierarchy="16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 oneField="1">
      <fieldsUsage count="1">
        <fieldUsage x="0"/>
      </fieldsUsage>
    </cacheHierarchy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/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uthor" refreshedDate="46319.821401620371" backgroundQuery="1" createdVersion="6" refreshedVersion="6" minRefreshableVersion="3" recordCount="0" supportSubquery="1" supportAdvancedDrill="1">
  <cacheSource type="external" connectionId="2"/>
  <cacheFields count="2">
    <cacheField name="[Measures].[Count of ticket_id]" caption="Count of ticket_id" numFmtId="0" hierarchy="13" level="32767"/>
    <cacheField name="[raw_support_tickets].[sla_status].[sla_status]" caption="sla_status" numFmtId="0" hierarchy="12" level="1">
      <sharedItems count="5">
        <s v="Breached"/>
        <s v="Cancelled"/>
        <s v="Overdue - Open"/>
        <s v="Pending - Within SLA"/>
        <s v="Within SLA"/>
      </sharedItems>
    </cacheField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Measures].[Count of ticket_id]" caption="Count of ticket_id" measure="1" displayFolder="" measureGroup="raw_support_ticket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/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uthor" refreshedDate="46319.821400694447" backgroundQuery="1" createdVersion="6" refreshedVersion="6" minRefreshableVersion="3" recordCount="0" supportSubquery="1" supportAdvancedDrill="1">
  <cacheSource type="external" connectionId="2"/>
  <cacheFields count="1">
    <cacheField name="[Measures].[_resolved_breached_tickets]" caption="_resolved_breached_tickets" numFmtId="0" hierarchy="15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 oneField="1">
      <fieldsUsage count="1">
        <fieldUsage x="0"/>
      </fieldsUsage>
    </cacheHierarchy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/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uthor" refreshedDate="46319.821398958331" backgroundQuery="1" createdVersion="6" refreshedVersion="6" minRefreshableVersion="3" recordCount="0" supportSubquery="1" supportAdvancedDrill="1">
  <cacheSource type="external" connectionId="2"/>
  <cacheFields count="1">
    <cacheField name="[Measures].[Count of ticket_id]" caption="Count of ticket_id" numFmtId="0" hierarchy="13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/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uthor" refreshedDate="46319.825156828701" backgroundQuery="1" createdVersion="6" refreshedVersion="6" minRefreshableVersion="3" recordCount="0" supportSubquery="1" supportAdvancedDrill="1">
  <cacheSource type="external" connectionId="2"/>
  <cacheFields count="1"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0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Author" refreshedDate="46319.834610879632" backgroundQuery="1" createdVersion="6" refreshedVersion="6" minRefreshableVersion="3" recordCount="0" supportSubquery="1" supportAdvancedDrill="1">
  <cacheSource type="external" connectionId="2"/>
  <cacheFields count="5"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Measures].[_overall_breach_rate]" caption="_overall_breach_rate" numFmtId="0" hierarchy="18" level="32767"/>
    <cacheField name="[Measures].[Count of ticket_id]" caption="Count of ticket_id" numFmtId="0" hierarchy="13" level="32767"/>
    <cacheField name="[Measures].[_total_resolved_tickets]" caption="_total_resolved_tickets" numFmtId="0" hierarchy="17" level="32767"/>
    <cacheField name="[Measures].[_resolved_breached_tickets]" caption="_resolved_breached_tickets" numFmtId="0" hierarchy="15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 oneField="1">
      <fieldsUsage count="1">
        <fieldUsage x="4"/>
      </fieldsUsage>
    </cacheHierarchy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 oneField="1">
      <fieldsUsage count="1">
        <fieldUsage x="3"/>
      </fieldsUsage>
    </cacheHierarchy>
    <cacheHierarchy uniqueName="[Measures].[_overall_breach_rate]" caption="_overall_breach_rate" measure="1" displayFolder="" measureGroup="raw_support_tickets" count="0" oneField="1">
      <fieldsUsage count="1">
        <fieldUsage x="1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Author" refreshedDate="46319.848990509257" backgroundQuery="1" createdVersion="6" refreshedVersion="6" minRefreshableVersion="3" recordCount="0" supportSubquery="1" supportAdvancedDrill="1">
  <cacheSource type="external" connectionId="2"/>
  <cacheFields count="3">
    <cacheField name="[raw_support_tickets].[priority].[priority]" caption="priority" numFmtId="0" hierarchy="4" level="1">
      <sharedItems count="4">
        <s v="P1"/>
        <s v="P2"/>
        <s v="P3"/>
        <s v="P4"/>
      </sharedItems>
    </cacheField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2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Author" refreshedDate="46319.876810532405" backgroundQuery="1" createdVersion="6" refreshedVersion="6" minRefreshableVersion="3" recordCount="0" supportSubquery="1" supportAdvancedDrill="1">
  <cacheSource type="external" connectionId="2"/>
  <cacheFields count="5"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raw_support_tickets].[priority].[priority]" caption="priority" numFmtId="0" hierarchy="4" level="1">
      <sharedItems count="4">
        <s v="P1"/>
        <s v="P2"/>
        <s v="P3"/>
        <s v="P4"/>
      </sharedItems>
    </cacheField>
    <cacheField name="[Measures].[_total_resolved_tickets]" caption="_total_resolved_tickets" numFmtId="0" hierarchy="17" level="32767"/>
    <cacheField name="[Measures].[_resolved_breached_tickets]" caption="_resolved_breached_tickets" numFmtId="0" hierarchy="15" level="32767"/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 oneField="1">
      <fieldsUsage count="1">
        <fieldUsage x="3"/>
      </fieldsUsage>
    </cacheHierarchy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 oneField="1">
      <fieldsUsage count="1">
        <fieldUsage x="2"/>
      </fieldsUsage>
    </cacheHierarchy>
    <cacheHierarchy uniqueName="[Measures].[_overall_breach_rate]" caption="_overall_breach_rate" measure="1" displayFolder="" measureGroup="raw_support_tickets" count="0" oneField="1">
      <fieldsUsage count="1">
        <fieldUsage x="4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Author" refreshedDate="46319.882467013886" backgroundQuery="1" createdVersion="6" refreshedVersion="6" minRefreshableVersion="3" recordCount="0" supportSubquery="1" supportAdvancedDrill="1">
  <cacheSource type="external" connectionId="2"/>
  <cacheFields count="5">
    <cacheField name="[raw_support_tickets].[support_team].[support_team]" caption="support_team" numFmtId="0" hierarchy="6" level="1">
      <sharedItems count="3">
        <s v="Team Alpha"/>
        <s v="Team Beta"/>
        <s v="Team Gamma"/>
      </sharedItems>
    </cacheField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Measures].[_total_resolved_tickets]" caption="_total_resolved_tickets" numFmtId="0" hierarchy="17" level="32767"/>
    <cacheField name="[Measures].[_resolved_breached_tickets]" caption="_resolved_breached_tickets" numFmtId="0" hierarchy="15" level="32767"/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 oneField="1">
      <fieldsUsage count="1">
        <fieldUsage x="3"/>
      </fieldsUsage>
    </cacheHierarchy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 oneField="1">
      <fieldsUsage count="1">
        <fieldUsage x="2"/>
      </fieldsUsage>
    </cacheHierarchy>
    <cacheHierarchy uniqueName="[Measures].[_overall_breach_rate]" caption="_overall_breach_rate" measure="1" displayFolder="" measureGroup="raw_support_tickets" count="0" oneField="1">
      <fieldsUsage count="1">
        <fieldUsage x="4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Author" refreshedDate="46319.884615509261" backgroundQuery="1" createdVersion="6" refreshedVersion="6" minRefreshableVersion="3" recordCount="0" supportSubquery="1" supportAdvancedDrill="1">
  <cacheSource type="external" connectionId="2"/>
  <cacheFields count="2">
    <cacheField name="[raw_support_tickets].[support_team].[support_team]" caption="support_team" numFmtId="0" hierarchy="6" level="1">
      <sharedItems count="3">
        <s v="Team Alpha"/>
        <s v="Team Beta"/>
        <s v="Team Gamma"/>
      </sharedItems>
    </cacheField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0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1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Author" refreshedDate="46319.899496759259" backgroundQuery="1" createdVersion="6" refreshedVersion="6" minRefreshableVersion="3" recordCount="0" supportSubquery="1" supportAdvancedDrill="1">
  <cacheSource type="external" connectionId="2"/>
  <cacheFields count="2"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1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Author" refreshedDate="46321.0514625" backgroundQuery="1" createdVersion="6" refreshedVersion="6" minRefreshableVersion="3" recordCount="0" supportSubquery="1" supportAdvancedDrill="1">
  <cacheSource type="external" connectionId="2"/>
  <cacheFields count="3"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Measures].[_resolved_within_sla_tickets]" caption="_resolved_within_sla_tickets" numFmtId="0" hierarchy="16" level="32767"/>
    <cacheField name="[Measures].[_resolved_breached_tickets]" caption="_resolved_breached_tickets" numFmtId="0" hierarchy="15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0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 oneField="1">
      <fieldsUsage count="1">
        <fieldUsage x="2"/>
      </fieldsUsage>
    </cacheHierarchy>
    <cacheHierarchy uniqueName="[Measures].[_resolved_within_sla_tickets]" caption="_resolved_within_sla_tickets" measure="1" displayFolder="" measureGroup="raw_support_tickets" count="0" oneField="1">
      <fieldsUsage count="1">
        <fieldUsage x="1"/>
      </fieldsUsage>
    </cacheHierarchy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/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saveData="0" refreshedBy="Author" refreshedDate="46321.059413425923" backgroundQuery="1" createdVersion="6" refreshedVersion="6" minRefreshableVersion="3" recordCount="0" supportSubquery="1" supportAdvancedDrill="1">
  <cacheSource type="external" connectionId="2"/>
  <cacheFields count="3"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  <cacheField name="[raw_support_tickets].[priority].[priority]" caption="priority" numFmtId="0" hierarchy="4" level="1">
      <sharedItems count="4">
        <s v="P1"/>
        <s v="P2"/>
        <s v="P3"/>
        <s v="P4"/>
      </sharedItems>
    </cacheField>
    <cacheField name="[Measures].[_overall_breach_rate]" caption="_overall_breach_rate" numFmtId="0" hierarchy="18" level="32767"/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0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0" memberValueDatatype="130" unbalanced="0"/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2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saveData="0" refreshedBy="Author" refreshedDate="46321.070186342593" backgroundQuery="1" createdVersion="6" refreshedVersion="6" minRefreshableVersion="3" recordCount="0" supportSubquery="1" supportAdvancedDrill="1">
  <cacheSource type="external" connectionId="2"/>
  <cacheFields count="2">
    <cacheField name="[Measures].[_overall_breach_rate]" caption="_overall_breach_rate" numFmtId="0" hierarchy="18" level="32767"/>
    <cacheField name="[raw_support_tickets].[support_team].[support_team]" caption="support_team" numFmtId="0" hierarchy="6" level="1">
      <sharedItems count="3">
        <s v="Team Alpha"/>
        <s v="Team Beta"/>
        <s v="Team Gamma"/>
      </sharedItems>
    </cacheField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/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2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0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saveData="0" refreshedBy="Author" refreshedDate="46321.079195486112" backgroundQuery="1" createdVersion="6" refreshedVersion="6" minRefreshableVersion="3" recordCount="0" supportSubquery="1" supportAdvancedDrill="1">
  <cacheSource type="external" connectionId="2"/>
  <cacheFields count="3">
    <cacheField name="[Measures].[_overall_breach_rate]" caption="_overall_breach_rate" numFmtId="0" hierarchy="18" level="32767"/>
    <cacheField name="[raw_support_tickets].[support_team].[support_team]" caption="support_team" numFmtId="0" hierarchy="6" level="1">
      <sharedItems count="3">
        <s v="Team Alpha"/>
        <s v="Team Beta"/>
        <s v="Team Gamma"/>
      </sharedItems>
    </cacheField>
    <cacheField name="[raw_support_tickets].[issue_category].[issue_category]" caption="issue_category" numFmtId="0" hierarchy="3" level="1">
      <sharedItems count="6">
        <s v="Account &amp; Subscription"/>
        <s v="Billing &amp; Payments"/>
        <s v="Bugs &amp; Errors"/>
        <s v="Data &amp; Reports"/>
        <s v="Integrations"/>
        <s v="Login &amp; Access"/>
      </sharedItems>
    </cacheField>
  </cacheFields>
  <cacheHierarchies count="21">
    <cacheHierarchy uniqueName="[raw_support_tickets].[ticket_id]" caption="ticket_id" attribute="1" defaultMemberUniqueName="[raw_support_tickets].[ticket_id].[All]" allUniqueName="[raw_support_tickets].[ticket_id].[All]" dimensionUniqueName="[raw_support_tickets]" displayFolder="" count="0" memberValueDatatype="130" unbalanced="0"/>
    <cacheHierarchy uniqueName="[raw_support_tickets].[created_at]" caption="created_at" attribute="1" time="1" defaultMemberUniqueName="[raw_support_tickets].[created_at].[All]" allUniqueName="[raw_support_tickets].[created_at].[All]" dimensionUniqueName="[raw_support_tickets]" displayFolder="" count="0" memberValueDatatype="7" unbalanced="0"/>
    <cacheHierarchy uniqueName="[raw_support_tickets].[resolved_at]" caption="resolved_at" attribute="1" time="1" defaultMemberUniqueName="[raw_support_tickets].[resolved_at].[All]" allUniqueName="[raw_support_tickets].[resolved_at].[All]" dimensionUniqueName="[raw_support_tickets]" displayFolder="" count="0" memberValueDatatype="7" unbalanced="0"/>
    <cacheHierarchy uniqueName="[raw_support_tickets].[issue_category]" caption="issue_category" attribute="1" defaultMemberUniqueName="[raw_support_tickets].[issue_category].[All]" allUniqueName="[raw_support_tickets].[issue_category].[All]" dimensionUniqueName="[raw_support_tickets]" displayFolder="" count="2" memberValueDatatype="130" unbalanced="0">
      <fieldsUsage count="2">
        <fieldUsage x="-1"/>
        <fieldUsage x="2"/>
      </fieldsUsage>
    </cacheHierarchy>
    <cacheHierarchy uniqueName="[raw_support_tickets].[priority]" caption="priority" attribute="1" defaultMemberUniqueName="[raw_support_tickets].[priority].[All]" allUniqueName="[raw_support_tickets].[priority].[All]" dimensionUniqueName="[raw_support_tickets]" displayFolder="" count="2" memberValueDatatype="130" unbalanced="0"/>
    <cacheHierarchy uniqueName="[raw_support_tickets].[channel]" caption="channel" attribute="1" defaultMemberUniqueName="[raw_support_tickets].[channel].[All]" allUniqueName="[raw_support_tickets].[channel].[All]" dimensionUniqueName="[raw_support_tickets]" displayFolder="" count="0" memberValueDatatype="130" unbalanced="0"/>
    <cacheHierarchy uniqueName="[raw_support_tickets].[support_team]" caption="support_team" attribute="1" defaultMemberUniqueName="[raw_support_tickets].[support_team].[All]" allUniqueName="[raw_support_tickets].[support_team].[All]" dimensionUniqueName="[raw_support_tickets]" displayFolder="" count="2" memberValueDatatype="130" unbalanced="0">
      <fieldsUsage count="2">
        <fieldUsage x="-1"/>
        <fieldUsage x="1"/>
      </fieldsUsage>
    </cacheHierarchy>
    <cacheHierarchy uniqueName="[raw_support_tickets].[customer_plan]" caption="customer_plan" attribute="1" defaultMemberUniqueName="[raw_support_tickets].[customer_plan].[All]" allUniqueName="[raw_support_tickets].[customer_plan].[All]" dimensionUniqueName="[raw_support_tickets]" displayFolder="" count="0" memberValueDatatype="130" unbalanced="0"/>
    <cacheHierarchy uniqueName="[raw_support_tickets].[status]" caption="status" attribute="1" defaultMemberUniqueName="[raw_support_tickets].[status].[All]" allUniqueName="[raw_support_tickets].[status].[All]" dimensionUniqueName="[raw_support_tickets]" displayFolder="" count="0" memberValueDatatype="130" unbalanced="0"/>
    <cacheHierarchy uniqueName="[raw_support_tickets].[first_response_minutes]" caption="first_response_minutes" attribute="1" defaultMemberUniqueName="[raw_support_tickets].[first_response_minutes].[All]" allUniqueName="[raw_support_tickets].[first_response_minutes].[All]" dimensionUniqueName="[raw_support_tickets]" displayFolder="" count="0" memberValueDatatype="5" unbalanced="0"/>
    <cacheHierarchy uniqueName="[raw_support_tickets].[resolution_minutes]" caption="resolution_minutes" attribute="1" defaultMemberUniqueName="[raw_support_tickets].[resolution_minutes].[All]" allUniqueName="[raw_support_tickets].[resolution_minutes].[All]" dimensionUniqueName="[raw_support_tickets]" displayFolder="" count="0" memberValueDatatype="5" unbalanced="0"/>
    <cacheHierarchy uniqueName="[raw_support_tickets].[sla_target_hours]" caption="sla_target_hours" attribute="1" defaultMemberUniqueName="[raw_support_tickets].[sla_target_hours].[All]" allUniqueName="[raw_support_tickets].[sla_target_hours].[All]" dimensionUniqueName="[raw_support_tickets]" displayFolder="" count="0" memberValueDatatype="20" unbalanced="0"/>
    <cacheHierarchy uniqueName="[raw_support_tickets].[sla_status]" caption="sla_status" attribute="1" defaultMemberUniqueName="[raw_support_tickets].[sla_status].[All]" allUniqueName="[raw_support_tickets].[sla_status].[All]" dimensionUniqueName="[raw_support_tickets]" displayFolder="" count="0" memberValueDatatype="130" unbalanced="0"/>
    <cacheHierarchy uniqueName="[Measures].[Count of ticket_id]" caption="Count of ticket_id" measure="1" displayFolder="" measureGroup="raw_support_ticket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ssue_category]" caption="Count of issue_category" measure="1" displayFolder="" measureGroup="raw_support_ticket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_resolved_breached_tickets]" caption="_resolved_breached_tickets" measure="1" displayFolder="" measureGroup="raw_support_tickets" count="0"/>
    <cacheHierarchy uniqueName="[Measures].[_resolved_within_sla_tickets]" caption="_resolved_within_sla_tickets" measure="1" displayFolder="" measureGroup="raw_support_tickets" count="0"/>
    <cacheHierarchy uniqueName="[Measures].[_total_resolved_tickets]" caption="_total_resolved_tickets" measure="1" displayFolder="" measureGroup="raw_support_tickets" count="0"/>
    <cacheHierarchy uniqueName="[Measures].[_overall_breach_rate]" caption="_overall_breach_rate" measure="1" displayFolder="" measureGroup="raw_support_tickets" count="0" oneField="1">
      <fieldsUsage count="1">
        <fieldUsage x="0"/>
      </fieldsUsage>
    </cacheHierarchy>
    <cacheHierarchy uniqueName="[Measures].[__XL_Count raw_support_tickets]" caption="__XL_Count raw_support_tickets" measure="1" displayFolder="" measureGroup="raw_support_tickets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_support_tickets" uniqueName="[raw_support_tickets]" caption="raw_support_tickets"/>
  </dimensions>
  <measureGroups count="1">
    <measureGroup name="raw_support_tickets" caption="raw_support_ticket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name="PivotTable15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28:F36" firstHeaderRow="1" firstDataRow="2" firstDataCol="1"/>
  <pivotFields count="3">
    <pivotField axis="axisCol" allDrilled="1" showAll="0" dataSourceSort="1" defaultAttributeDrillState="1">
      <items count="5">
        <item x="0"/>
        <item x="1"/>
        <item x="2"/>
        <item x="3"/>
        <item t="default"/>
      </items>
    </pivotField>
    <pivotField axis="axisRow" allDrilled="1" showAll="0" sortType="descending" defaultAttributeDrillState="1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7">
    <i>
      <x v="2"/>
    </i>
    <i>
      <x v="4"/>
    </i>
    <i>
      <x v="3"/>
    </i>
    <i>
      <x v="1"/>
    </i>
    <i>
      <x v="5"/>
    </i>
    <i>
      <x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fld="2" subtotal="count" baseField="0" baseItem="0"/>
  </dataFields>
  <formats count="7">
    <format dxfId="13">
      <pivotArea collapsedLevelsAreSubtotals="1" fieldPosition="0">
        <references count="2">
          <reference field="0" count="1" selected="0">
            <x v="0"/>
          </reference>
          <reference field="1" count="1">
            <x v="2"/>
          </reference>
        </references>
      </pivotArea>
    </format>
    <format dxfId="12">
      <pivotArea collapsedLevelsAreSubtotals="1" fieldPosition="0">
        <references count="2">
          <reference field="0" count="1" selected="0">
            <x v="0"/>
          </reference>
          <reference field="1" count="1">
            <x v="4"/>
          </reference>
        </references>
      </pivotArea>
    </format>
    <format dxfId="11">
      <pivotArea collapsedLevelsAreSubtotals="1" fieldPosition="0">
        <references count="2">
          <reference field="0" count="1" selected="0">
            <x v="0"/>
          </reference>
          <reference field="1" count="1">
            <x v="3"/>
          </reference>
        </references>
      </pivotArea>
    </format>
    <format dxfId="10">
      <pivotArea collapsedLevelsAreSubtotals="1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9">
      <pivotArea collapsedLevelsAreSubtotals="1" fieldPosition="0">
        <references count="2">
          <reference field="0" count="1" selected="0">
            <x v="0"/>
          </reference>
          <reference field="1" count="1">
            <x v="5"/>
          </reference>
        </references>
      </pivotArea>
    </format>
    <format dxfId="8">
      <pivotArea collapsedLevelsAreSubtotals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7">
      <pivotArea dataOnly="0" labelOnly="1" fieldPosition="0">
        <references count="1">
          <reference field="1" count="2">
            <x v="2"/>
            <x v="4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2.xml><?xml version="1.0" encoding="utf-8"?>
<pivotTableDefinition xmlns="http://schemas.openxmlformats.org/spreadsheetml/2006/main" name="PivotTable4" cacheId="3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B5:B6" firstHeaderRow="1" firstDataRow="1" firstDataCol="0"/>
  <pivotFields count="1">
    <pivotField dataField="1" showAll="0"/>
  </pivotFields>
  <rowItems count="1">
    <i/>
  </rowItems>
  <colItems count="1">
    <i/>
  </colItems>
  <dataFields count="1">
    <dataField fld="0" subtotal="count" baseField="0" baseItem="0"/>
  </dataFields>
  <formats count="9">
    <format dxfId="22">
      <pivotArea type="all" dataOnly="0" outline="0" fieldPosition="0"/>
    </format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dataOnly="0" labelOnly="1" outline="0" axis="axisValues" fieldPosition="0"/>
    </format>
    <format dxfId="15">
      <pivotArea dataOnly="0" labelOnly="1" outline="0" axis="axisValues" fieldPosition="0"/>
    </format>
    <format dxfId="14">
      <pivotArea outline="0" collapsedLevelsAreSubtotals="1" fieldPosition="0"/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3.xml><?xml version="1.0" encoding="utf-8"?>
<pivotTableDefinition xmlns="http://schemas.openxmlformats.org/spreadsheetml/2006/main" name="PivotTable14" cacheId="6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 chartFormat="1">
  <location ref="A18:E25" firstHeaderRow="0" firstDataRow="1" firstDataCol="1"/>
  <pivotFields count="5">
    <pivotField axis="axisRow" allDrilled="1" showAll="0" sortType="descending" defaultAttributeDrillState="1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dataField="1" showAll="0"/>
    <pivotField dataField="1" showAll="0"/>
    <pivotField dataField="1" showAll="0"/>
    <pivotField dataField="1" showAll="0"/>
  </pivotFields>
  <rowFields count="1">
    <field x="0"/>
  </rowFields>
  <rowItems count="7">
    <i>
      <x v="2"/>
    </i>
    <i>
      <x v="4"/>
    </i>
    <i>
      <x v="3"/>
    </i>
    <i>
      <x v="1"/>
    </i>
    <i>
      <x v="5"/>
    </i>
    <i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ticket_id" fld="2" subtotal="count" baseField="0" baseItem="0"/>
    <dataField fld="3" subtotal="count" baseField="0" baseItem="0"/>
    <dataField fld="4" subtotal="count" baseField="0" baseItem="0"/>
    <dataField fld="1" subtotal="count" baseField="0" baseItem="0"/>
  </dataFields>
  <formats count="15">
    <format dxfId="37">
      <pivotArea collapsedLevelsAreSubtotals="1" fieldPosition="0">
        <references count="1">
          <reference field="0" count="0"/>
        </references>
      </pivotArea>
    </format>
    <format dxfId="36">
      <pivotArea collapsedLevelsAreSubtotals="1" fieldPosition="0">
        <references count="2">
          <reference field="4294967294" count="1" selected="0">
            <x v="0"/>
          </reference>
          <reference field="0" count="1">
            <x v="3"/>
          </reference>
        </references>
      </pivotArea>
    </format>
    <format dxfId="35">
      <pivotArea collapsedLevelsAreSubtotals="1" fieldPosition="0">
        <references count="2">
          <reference field="4294967294" count="1" selected="0">
            <x v="0"/>
          </reference>
          <reference field="0" count="1">
            <x v="3"/>
          </reference>
        </references>
      </pivotArea>
    </format>
    <format dxfId="34">
      <pivotArea collapsedLevelsAreSubtotals="1" fieldPosition="0">
        <references count="2">
          <reference field="4294967294" count="1" selected="0">
            <x v="0"/>
          </reference>
          <reference field="0" count="1">
            <x v="3"/>
          </reference>
        </references>
      </pivotArea>
    </format>
    <format dxfId="33">
      <pivotArea collapsedLevelsAreSubtotals="1" fieldPosition="0">
        <references count="2">
          <reference field="4294967294" count="1" selected="0">
            <x v="0"/>
          </reference>
          <reference field="0" count="1">
            <x v="3"/>
          </reference>
        </references>
      </pivotArea>
    </format>
    <format dxfId="32">
      <pivotArea collapsedLevelsAreSubtotals="1" fieldPosition="0">
        <references count="2">
          <reference field="4294967294" count="1" selected="0">
            <x v="0"/>
          </reference>
          <reference field="0" count="1">
            <x v="3"/>
          </reference>
        </references>
      </pivotArea>
    </format>
    <format dxfId="31">
      <pivotArea collapsedLevelsAreSubtotals="1" fieldPosition="0">
        <references count="2">
          <reference field="4294967294" count="1" selected="0">
            <x v="1"/>
          </reference>
          <reference field="0" count="1">
            <x v="3"/>
          </reference>
        </references>
      </pivotArea>
    </format>
    <format dxfId="30">
      <pivotArea collapsedLevelsAreSubtotals="1" fieldPosition="0">
        <references count="2">
          <reference field="4294967294" count="1" selected="0">
            <x v="2"/>
          </reference>
          <reference field="0" count="1">
            <x v="2"/>
          </reference>
        </references>
      </pivotArea>
    </format>
    <format dxfId="29">
      <pivotArea collapsedLevelsAreSubtotals="1" fieldPosition="0">
        <references count="2">
          <reference field="4294967294" count="1" selected="0">
            <x v="0"/>
          </reference>
          <reference field="0" count="1">
            <x v="3"/>
          </reference>
        </references>
      </pivotArea>
    </format>
    <format dxfId="28">
      <pivotArea collapsedLevelsAreSubtotals="1" fieldPosition="0">
        <references count="2">
          <reference field="4294967294" count="1" selected="0">
            <x v="1"/>
          </reference>
          <reference field="0" count="1">
            <x v="3"/>
          </reference>
        </references>
      </pivotArea>
    </format>
    <format dxfId="27">
      <pivotArea collapsedLevelsAreSubtotals="1" fieldPosition="0">
        <references count="2">
          <reference field="4294967294" count="1" selected="0">
            <x v="2"/>
          </reference>
          <reference field="0" count="1">
            <x v="2"/>
          </reference>
        </references>
      </pivotArea>
    </format>
    <format dxfId="26">
      <pivotArea collapsedLevelsAreSubtotals="1" fieldPosition="0">
        <references count="1">
          <reference field="0" count="2">
            <x v="2"/>
            <x v="4"/>
          </reference>
        </references>
      </pivotArea>
    </format>
    <format dxfId="25">
      <pivotArea dataOnly="0" labelOnly="1" fieldPosition="0">
        <references count="1">
          <reference field="0" count="2">
            <x v="2"/>
            <x v="4"/>
          </reference>
        </references>
      </pivotArea>
    </format>
    <format dxfId="24">
      <pivotArea collapsedLevelsAreSubtotals="1" fieldPosition="0">
        <references count="1">
          <reference field="0" count="2">
            <x v="2"/>
            <x v="4"/>
          </reference>
        </references>
      </pivotArea>
    </format>
    <format dxfId="23">
      <pivotArea dataOnly="0" labelOnly="1" fieldPosition="0">
        <references count="1">
          <reference field="0" count="2">
            <x v="2"/>
            <x v="4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4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B2:B3" firstHeaderRow="1" firstDataRow="1" firstDataCol="0"/>
  <pivotFields count="1">
    <pivotField dataField="1" showAll="0"/>
  </pivotFields>
  <rowItems count="1">
    <i/>
  </rowItems>
  <colItems count="1">
    <i/>
  </colItems>
  <dataFields count="1">
    <dataField name="Count of ticket_id" fld="0" subtotal="count" baseField="0" baseItem="0" numFmtId="3"/>
  </dataFields>
  <formats count="12">
    <format dxfId="49">
      <pivotArea type="all" dataOnly="0" outline="0" fieldPosition="0"/>
    </format>
    <format dxfId="48">
      <pivotArea outline="0" collapsedLevelsAreSubtotals="1" fieldPosition="0"/>
    </format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dataOnly="0" labelOnly="1" outline="0" axis="axisValues" fieldPosition="0"/>
    </format>
    <format dxfId="42">
      <pivotArea dataOnly="0" labelOnly="1" outline="0" axis="axisValues" fieldPosition="0"/>
    </format>
    <format dxfId="41">
      <pivotArea outline="0" collapsedLevelsAreSubtotals="1" fieldPosition="0"/>
    </format>
    <format dxfId="40">
      <pivotArea outline="0" collapsedLevelsAreSubtotals="1" fieldPosition="0"/>
    </format>
    <format dxfId="39">
      <pivotArea outline="0" collapsedLevelsAreSubtotals="1" fieldPosition="0"/>
    </format>
    <format dxfId="38">
      <pivotArea outline="0" collapsedLevelsAreSubtotals="1" fieldPosition="0"/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5.xml><?xml version="1.0" encoding="utf-8"?>
<pivotTableDefinition xmlns="http://schemas.openxmlformats.org/spreadsheetml/2006/main" name="PivotTable13" cacheId="5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B14:B15" firstHeaderRow="1" firstDataRow="1" firstDataCol="0"/>
  <pivotFields count="1">
    <pivotField dataField="1" showAll="0"/>
  </pivotFields>
  <rowItems count="1">
    <i/>
  </rowItems>
  <colItems count="1">
    <i/>
  </colItems>
  <dataFields count="1">
    <dataField fld="0" subtotal="count" baseField="0" baseItem="0"/>
  </dataFields>
  <formats count="9">
    <format dxfId="58">
      <pivotArea type="all" dataOnly="0" outline="0" fieldPosition="0"/>
    </format>
    <format dxfId="57">
      <pivotArea outline="0" collapsedLevelsAreSubtotals="1" fieldPosition="0"/>
    </format>
    <format dxfId="56">
      <pivotArea dataOnly="0" labelOnly="1" outline="0" axis="axisValues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dataOnly="0" labelOnly="1" outline="0" axis="axisValues" fieldPosition="0"/>
    </format>
    <format dxfId="51">
      <pivotArea dataOnly="0" labelOnly="1" outline="0" axis="axisValues" fieldPosition="0"/>
    </format>
    <format dxfId="50">
      <pivotArea outline="0" collapsedLevelsAreSubtotals="1" fieldPosition="0"/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6.xml><?xml version="1.0" encoding="utf-8"?>
<pivotTableDefinition xmlns="http://schemas.openxmlformats.org/spreadsheetml/2006/main" name="PivotTable18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F42:G46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1" subtotal="count" baseField="0" baseItem="0"/>
  </dataFields>
  <formats count="2">
    <format dxfId="60">
      <pivotArea collapsedLevelsAreSubtotals="1" fieldPosition="0">
        <references count="1">
          <reference field="0" count="1">
            <x v="2"/>
          </reference>
        </references>
      </pivotArea>
    </format>
    <format dxfId="59">
      <pivotArea dataOnly="0" labelOnly="1" fieldPosition="0">
        <references count="1">
          <reference field="0" count="1">
            <x v="2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7.xml><?xml version="1.0" encoding="utf-8"?>
<pivotTableDefinition xmlns="http://schemas.openxmlformats.org/spreadsheetml/2006/main" name="PivotTable17" cacheId="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0:D65" firstHeaderRow="0" firstDataRow="1" firstDataCol="1"/>
  <pivotFields count="5">
    <pivotField axis="axisRow" allDrilled="1" showAll="0" dataSourceSort="1" defaultAttributeDrillState="1">
      <items count="4">
        <item x="0"/>
        <item x="1"/>
        <item x="2"/>
        <item t="default"/>
      </items>
    </pivotField>
    <pivotField axis="axisRow" allDrilled="1" showAll="0" dataSourceSort="1" defaultAttributeDrillState="1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dataField="1" showAll="0"/>
    <pivotField dataField="1" showAll="0"/>
  </pivotFields>
  <rowFields count="2">
    <field x="1"/>
    <field x="0"/>
  </rowFields>
  <rowItems count="25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2" subtotal="count" baseField="0" baseItem="0"/>
    <dataField fld="3" subtotal="count" baseField="0" baseItem="0"/>
    <dataField fld="4" subtotal="count" baseField="0" baseItem="0"/>
  </dataFields>
  <formats count="23">
    <format dxfId="83">
      <pivotArea collapsedLevelsAreSubtotals="1" fieldPosition="0">
        <references count="2">
          <reference field="0" count="1">
            <x v="2"/>
          </reference>
          <reference field="1" count="1" selected="0">
            <x v="0"/>
          </reference>
        </references>
      </pivotArea>
    </format>
    <format dxfId="82">
      <pivotArea dataOnly="0" labelOnly="1" fieldPosition="0">
        <references count="2">
          <reference field="0" count="1">
            <x v="2"/>
          </reference>
          <reference field="1" count="1" selected="0">
            <x v="0"/>
          </reference>
        </references>
      </pivotArea>
    </format>
    <format dxfId="81">
      <pivotArea collapsedLevelsAreSubtotals="1" fieldPosition="0">
        <references count="2">
          <reference field="0" count="1">
            <x v="2"/>
          </reference>
          <reference field="1" count="1" selected="0">
            <x v="1"/>
          </reference>
        </references>
      </pivotArea>
    </format>
    <format dxfId="80">
      <pivotArea dataOnly="0" labelOnly="1" fieldPosition="0">
        <references count="2">
          <reference field="0" count="1">
            <x v="2"/>
          </reference>
          <reference field="1" count="1" selected="0">
            <x v="1"/>
          </reference>
        </references>
      </pivotArea>
    </format>
    <format dxfId="79">
      <pivotArea collapsedLevelsAreSubtotals="1" fieldPosition="0">
        <references count="3">
          <reference field="4294967294" count="1" selected="0">
            <x v="0"/>
          </reference>
          <reference field="0" count="1">
            <x v="1"/>
          </reference>
          <reference field="1" count="1" selected="0">
            <x v="2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1"/>
          </reference>
          <reference field="0" count="1">
            <x v="2"/>
          </reference>
          <reference field="1" count="1" selected="0">
            <x v="2"/>
          </reference>
        </references>
      </pivotArea>
    </format>
    <format dxfId="77">
      <pivotArea collapsedLevelsAreSubtotals="1" fieldPosition="0">
        <references count="3">
          <reference field="4294967294" count="1" selected="0">
            <x v="2"/>
          </reference>
          <reference field="0" count="1">
            <x v="2"/>
          </reference>
          <reference field="1" count="1" selected="0">
            <x v="2"/>
          </reference>
        </references>
      </pivotArea>
    </format>
    <format dxfId="76">
      <pivotArea collapsedLevelsAreSubtotals="1" fieldPosition="0">
        <references count="2">
          <reference field="0" count="1">
            <x v="2"/>
          </reference>
          <reference field="1" count="1" selected="0">
            <x v="3"/>
          </reference>
        </references>
      </pivotArea>
    </format>
    <format dxfId="75">
      <pivotArea dataOnly="0" labelOnly="1" fieldPosition="0">
        <references count="2">
          <reference field="0" count="1">
            <x v="2"/>
          </reference>
          <reference field="1" count="1" selected="0">
            <x v="3"/>
          </reference>
        </references>
      </pivotArea>
    </format>
    <format dxfId="74">
      <pivotArea collapsedLevelsAreSubtotals="1" fieldPosition="0">
        <references count="2">
          <reference field="0" count="1">
            <x v="2"/>
          </reference>
          <reference field="1" count="1" selected="0">
            <x v="3"/>
          </reference>
        </references>
      </pivotArea>
    </format>
    <format dxfId="73">
      <pivotArea dataOnly="0" labelOnly="1" fieldPosition="0">
        <references count="2">
          <reference field="0" count="1">
            <x v="2"/>
          </reference>
          <reference field="1" count="1" selected="0">
            <x v="3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0"/>
          </reference>
          <reference field="0" count="1">
            <x v="1"/>
          </reference>
          <reference field="1" count="1" selected="0">
            <x v="4"/>
          </reference>
        </references>
      </pivotArea>
    </format>
    <format dxfId="71">
      <pivotArea collapsedLevelsAreSubtotals="1" fieldPosition="0">
        <references count="3">
          <reference field="4294967294" count="1" selected="0">
            <x v="1"/>
          </reference>
          <reference field="0" count="1">
            <x v="2"/>
          </reference>
          <reference field="1" count="1" selected="0">
            <x v="4"/>
          </reference>
        </references>
      </pivotArea>
    </format>
    <format dxfId="70">
      <pivotArea collapsedLevelsAreSubtotals="1" fieldPosition="0">
        <references count="3">
          <reference field="4294967294" count="1" selected="0">
            <x v="2"/>
          </reference>
          <reference field="0" count="1">
            <x v="2"/>
          </reference>
          <reference field="1" count="1" selected="0">
            <x v="4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0"/>
          </reference>
          <reference field="0" count="1">
            <x v="0"/>
          </reference>
          <reference field="1" count="1" selected="0">
            <x v="5"/>
          </reference>
        </references>
      </pivotArea>
    </format>
    <format dxfId="68">
      <pivotArea collapsedLevelsAreSubtotals="1" fieldPosition="0">
        <references count="3">
          <reference field="4294967294" count="1" selected="0">
            <x v="1"/>
          </reference>
          <reference field="0" count="1">
            <x v="2"/>
          </reference>
          <reference field="1" count="1" selected="0">
            <x v="5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2"/>
          </reference>
          <reference field="0" count="1">
            <x v="2"/>
          </reference>
          <reference field="1" count="1" selected="0">
            <x v="5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2"/>
          </reference>
          <reference field="0" count="1">
            <x v="2"/>
          </reference>
          <reference field="1" count="1" selected="0">
            <x v="2"/>
          </reference>
        </references>
      </pivotArea>
    </format>
    <format dxfId="65">
      <pivotArea dataOnly="0" labelOnly="1" fieldPosition="0">
        <references count="2">
          <reference field="0" count="1">
            <x v="2"/>
          </reference>
          <reference field="1" count="1" selected="0">
            <x v="2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2"/>
          </reference>
          <reference field="0" count="1">
            <x v="2"/>
          </reference>
          <reference field="1" count="1" selected="0">
            <x v="4"/>
          </reference>
        </references>
      </pivotArea>
    </format>
    <format dxfId="63">
      <pivotArea dataOnly="0" labelOnly="1" fieldPosition="0">
        <references count="2">
          <reference field="0" count="1">
            <x v="2"/>
          </reference>
          <reference field="1" count="1" selected="0">
            <x v="4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2"/>
          </reference>
          <reference field="0" count="1">
            <x v="2"/>
          </reference>
          <reference field="1" count="1" selected="0">
            <x v="5"/>
          </reference>
        </references>
      </pivotArea>
    </format>
    <format dxfId="61">
      <pivotArea dataOnly="0" labelOnly="1" fieldPosition="0">
        <references count="2">
          <reference field="0" count="1">
            <x v="2"/>
          </reference>
          <reference field="1" count="1" selected="0">
            <x v="5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"/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8.xml><?xml version="1.0" encoding="utf-8"?>
<pivotTableDefinition xmlns="http://schemas.openxmlformats.org/spreadsheetml/2006/main" name="PivotTable12" cacheId="0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B11:B12" firstHeaderRow="1" firstDataRow="1" firstDataCol="0"/>
  <pivotFields count="1">
    <pivotField dataField="1" showAll="0"/>
  </pivotFields>
  <rowItems count="1">
    <i/>
  </rowItems>
  <colItems count="1">
    <i/>
  </colItems>
  <dataFields count="1">
    <dataField fld="0" subtotal="count" baseField="0" baseItem="0"/>
  </dataFields>
  <formats count="9">
    <format dxfId="92">
      <pivotArea type="all" dataOnly="0" outline="0" fieldPosition="0"/>
    </format>
    <format dxfId="91">
      <pivotArea outline="0" collapsedLevelsAreSubtotals="1" fieldPosition="0"/>
    </format>
    <format dxfId="90">
      <pivotArea dataOnly="0" labelOnly="1" outline="0" axis="axisValues" fieldPosition="0"/>
    </format>
    <format dxfId="89">
      <pivotArea dataOnly="0" labelOnly="1" outline="0" axis="axisValues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outline="0" collapsedLevelsAreSubtotals="1" fieldPosition="0"/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9.xml><?xml version="1.0" encoding="utf-8"?>
<pivotTableDefinition xmlns="http://schemas.openxmlformats.org/spreadsheetml/2006/main" name="PivotTable16" cacheId="8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H8:K39" firstHeaderRow="0" firstDataRow="1" firstDataCol="1"/>
  <pivotFields count="5">
    <pivotField axis="axisRow" allDrilled="1" showAll="0" dataSourceSort="1" defaultAttributeDrillState="1">
      <items count="7">
        <item x="0"/>
        <item x="1"/>
        <item x="2"/>
        <item x="3"/>
        <item x="4"/>
        <item x="5"/>
        <item t="default"/>
      </items>
    </pivotField>
    <pivotField axis="axisRow" allDrilled="1" showAll="0" dataSourceSort="1" defaultAttributeDrillState="1">
      <items count="5">
        <item x="0"/>
        <item x="1"/>
        <item x="2"/>
        <item x="3"/>
        <item t="default"/>
      </items>
    </pivotField>
    <pivotField dataField="1" showAll="0"/>
    <pivotField dataField="1" showAll="0"/>
    <pivotField dataField="1" showAll="0"/>
  </pivotFields>
  <rowFields count="2">
    <field x="0"/>
    <field x="1"/>
  </rowFields>
  <rowItems count="3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2" subtotal="count" baseField="0" baseItem="0"/>
    <dataField fld="3" subtotal="count" baseField="0" baseItem="0"/>
    <dataField fld="4" subtotal="count" baseField="0" baseItem="0"/>
  </dataFields>
  <formats count="35">
    <format dxfId="127">
      <pivotArea collapsedLevelsAreSubtotals="1" fieldPosition="0">
        <references count="2">
          <reference field="0" count="1" selected="0">
            <x v="0"/>
          </reference>
          <reference field="1" count="1">
            <x v="2"/>
          </reference>
        </references>
      </pivotArea>
    </format>
    <format dxfId="126">
      <pivotArea dataOnly="0" labelOnly="1" fieldPosition="0">
        <references count="2">
          <reference field="0" count="1" selected="0">
            <x v="0"/>
          </reference>
          <reference field="1" count="1">
            <x v="2"/>
          </reference>
        </references>
      </pivotArea>
    </format>
    <format dxfId="125">
      <pivotArea collapsedLevelsAreSubtotals="1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124">
      <pivotArea dataOnly="0" labelOnly="1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123">
      <pivotArea collapsedLevelsAreSubtotals="1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122">
      <pivotArea dataOnly="0" labelOnly="1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121">
      <pivotArea collapsedLevelsAreSubtotals="1" fieldPosition="0">
        <references count="2">
          <reference field="0" count="1" selected="0">
            <x v="3"/>
          </reference>
          <reference field="1" count="1">
            <x v="2"/>
          </reference>
        </references>
      </pivotArea>
    </format>
    <format dxfId="120">
      <pivotArea dataOnly="0" labelOnly="1" fieldPosition="0">
        <references count="2">
          <reference field="0" count="1" selected="0">
            <x v="3"/>
          </reference>
          <reference field="1" count="1">
            <x v="2"/>
          </reference>
        </references>
      </pivotArea>
    </format>
    <format dxfId="119">
      <pivotArea collapsedLevelsAreSubtotals="1" fieldPosition="0">
        <references count="2">
          <reference field="0" count="1" selected="0">
            <x v="5"/>
          </reference>
          <reference field="1" count="1">
            <x v="2"/>
          </reference>
        </references>
      </pivotArea>
    </format>
    <format dxfId="118">
      <pivotArea dataOnly="0" labelOnly="1" fieldPosition="0">
        <references count="2">
          <reference field="0" count="1" selected="0">
            <x v="5"/>
          </reference>
          <reference field="1" count="1">
            <x v="2"/>
          </reference>
        </references>
      </pivotArea>
    </format>
    <format dxfId="117">
      <pivotArea collapsedLevelsAreSubtotals="1" fieldPosition="0">
        <references count="2">
          <reference field="0" count="1" selected="0">
            <x v="4"/>
          </reference>
          <reference field="1" count="1">
            <x v="2"/>
          </reference>
        </references>
      </pivotArea>
    </format>
    <format dxfId="116">
      <pivotArea dataOnly="0" labelOnly="1" fieldPosition="0">
        <references count="2">
          <reference field="0" count="1" selected="0">
            <x v="4"/>
          </reference>
          <reference field="1" count="1">
            <x v="2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1" count="1">
            <x v="2"/>
          </reference>
        </references>
      </pivotArea>
    </format>
    <format dxfId="114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1" count="1">
            <x v="2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2"/>
          </reference>
          <reference field="1" count="1">
            <x v="2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3"/>
          </reference>
          <reference field="1" count="1">
            <x v="2"/>
          </reference>
        </references>
      </pivotArea>
    </format>
    <format dxfId="11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4"/>
          </reference>
          <reference field="1" count="1">
            <x v="2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5"/>
          </reference>
          <reference field="1" count="1">
            <x v="2"/>
          </reference>
        </references>
      </pivotArea>
    </format>
    <format dxfId="10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1" count="1">
            <x v="0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1" count="1">
            <x v="1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2"/>
          </reference>
          <reference field="1" count="1">
            <x v="0"/>
          </reference>
        </references>
      </pivotArea>
    </format>
    <format dxfId="106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3"/>
          </reference>
          <reference field="1" count="1">
            <x v="0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4"/>
          </reference>
          <reference field="1" count="1">
            <x v="0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1" count="1">
            <x v="0"/>
          </reference>
        </references>
      </pivotArea>
    </format>
    <format dxfId="10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1" count="1">
            <x v="1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2"/>
          </reference>
          <reference field="1" count="1">
            <x v="0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3"/>
          </reference>
          <reference field="1" count="1">
            <x v="0"/>
          </reference>
        </references>
      </pivotArea>
    </format>
    <format dxfId="10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4"/>
          </reference>
          <reference field="1" count="1">
            <x v="0"/>
          </reference>
        </references>
      </pivotArea>
    </format>
    <format dxfId="9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5"/>
          </reference>
          <reference field="1" count="1">
            <x v="0"/>
          </reference>
        </references>
      </pivotArea>
    </format>
    <format dxfId="98">
      <pivotArea dataOnly="0" labelOnly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97">
      <pivotArea dataOnly="0" labelOnly="1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96">
      <pivotArea dataOnly="0" labelOnly="1" fieldPosition="0">
        <references count="2">
          <reference field="0" count="1" selected="0">
            <x v="2"/>
          </reference>
          <reference field="1" count="1">
            <x v="0"/>
          </reference>
        </references>
      </pivotArea>
    </format>
    <format dxfId="95">
      <pivotArea dataOnly="0" labelOnly="1" fieldPosition="0">
        <references count="2">
          <reference field="0" count="1" selected="0">
            <x v="3"/>
          </reference>
          <reference field="1" count="1">
            <x v="0"/>
          </reference>
        </references>
      </pivotArea>
    </format>
    <format dxfId="94">
      <pivotArea dataOnly="0" labelOnly="1" fieldPosition="0">
        <references count="2">
          <reference field="0" count="1" selected="0">
            <x v="4"/>
          </reference>
          <reference field="1" count="1">
            <x v="0"/>
          </reference>
        </references>
      </pivotArea>
    </format>
    <format dxfId="93">
      <pivotArea dataOnly="0" labelOnly="1" fieldPosition="0">
        <references count="2">
          <reference field="0" count="1" selected="0">
            <x v="5"/>
          </reference>
          <reference field="1" count="1">
            <x v="0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0.xml><?xml version="1.0" encoding="utf-8"?>
<pivotTableDefinition xmlns="http://schemas.openxmlformats.org/spreadsheetml/2006/main" name="PivotTable6" cacheId="1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B8:B9" firstHeaderRow="1" firstDataRow="1" firstDataCol="0"/>
  <pivotFields count="1">
    <pivotField dataField="1" showAll="0"/>
  </pivotFields>
  <rowItems count="1">
    <i/>
  </rowItems>
  <colItems count="1">
    <i/>
  </colItems>
  <dataFields count="1">
    <dataField fld="0" subtotal="count" baseField="0" baseItem="0"/>
  </dataFields>
  <formats count="9">
    <format dxfId="136">
      <pivotArea type="all" dataOnly="0" outline="0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dataOnly="0" labelOnly="1" outline="0" axis="axisValues" fieldPosition="0"/>
    </format>
    <format dxfId="132">
      <pivotArea type="all" dataOnly="0" outline="0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outline="0" collapsedLevelsAreSubtotals="1" fieldPosition="0"/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1.xml><?xml version="1.0" encoding="utf-8"?>
<pivotTableDefinition xmlns="http://schemas.openxmlformats.org/spreadsheetml/2006/main" name="PivotTable5" cacheId="2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D2:E8" firstHeaderRow="1" firstDataRow="1" firstDataCol="1"/>
  <pivotFields count="2">
    <pivotField dataField="1" showAll="0"/>
    <pivotField axis="axisRow" allDrilled="1" showAll="0" dataSourceSort="1" defaultAttributeDrillState="1">
      <items count="6">
        <item x="0"/>
        <item x="1"/>
        <item x="2"/>
        <item x="3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icket_id" fld="0" subtotal="count" baseField="0" baseItem="0"/>
  </dataFields>
  <formats count="12">
    <format dxfId="148">
      <pivotArea type="all" dataOnly="0" outline="0" fieldPosition="0"/>
    </format>
    <format dxfId="147">
      <pivotArea outline="0" collapsedLevelsAreSubtotals="1" fieldPosition="0"/>
    </format>
    <format dxfId="146">
      <pivotArea dataOnly="0" labelOnly="1" outline="0" axis="axisValues" fieldPosition="0"/>
    </format>
    <format dxfId="145">
      <pivotArea dataOnly="0" labelOnly="1" outline="0" axis="axisValues" fieldPosition="0"/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dataOnly="0" labelOnly="1" outline="0" axis="axisValues" fieldPosition="0"/>
    </format>
    <format dxfId="141">
      <pivotArea dataOnly="0" labelOnly="1" outline="0" axis="axisValues" fieldPosition="0"/>
    </format>
    <format dxfId="140">
      <pivotArea collapsedLevelsAreSubtotals="1" fieldPosition="0">
        <references count="1">
          <reference field="1" count="1">
            <x v="4"/>
          </reference>
        </references>
      </pivotArea>
    </format>
    <format dxfId="139">
      <pivotArea dataOnly="0" labelOnly="1" fieldPosition="0">
        <references count="1">
          <reference field="1" count="1">
            <x v="4"/>
          </reference>
        </references>
      </pivotArea>
    </format>
    <format dxfId="138">
      <pivotArea collapsedLevelsAreSubtotals="1" fieldPosition="0">
        <references count="1">
          <reference field="1" count="1">
            <x v="0"/>
          </reference>
        </references>
      </pivotArea>
    </format>
    <format dxfId="137">
      <pivotArea dataOnly="0" labelOnly="1" fieldPosition="0">
        <references count="1">
          <reference field="1" count="1">
            <x v="0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2.xml><?xml version="1.0" encoding="utf-8"?>
<pivotTableDefinition xmlns="http://schemas.openxmlformats.org/spreadsheetml/2006/main" name="PivotTable4" cacheId="75" applyNumberFormats="0" applyBorderFormats="0" applyFontFormats="0" applyPatternFormats="0" applyAlignmentFormats="0" applyWidthHeightFormats="1" dataCaption="Values" updatedVersion="6" minRefreshableVersion="3" useAutoFormatting="1" subtotalHiddenItems="1" rowGrandTotals="0" colGrandTotals="0" itemPrintTitles="1" createdVersion="6" indent="0" outline="1" outlineData="1" multipleFieldFilters="0" chartFormat="17">
  <location ref="A69:D76" firstHeaderRow="1" firstDataRow="2" firstDataCol="1"/>
  <pivotFields count="3">
    <pivotField dataField="1" showAll="0"/>
    <pivotField axis="axisCol" allDrilled="1" showAll="0" dataSourceSort="1" defaultAttributeDrillState="1">
      <items count="4">
        <item x="0"/>
        <item x="1"/>
        <item x="2"/>
        <item t="default"/>
      </items>
    </pivotField>
    <pivotField axis="axisRow" allDrilled="1" showAll="0" dataSourceSort="1" defaultAttributeDrillState="1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3">
    <i>
      <x/>
    </i>
    <i>
      <x v="1"/>
    </i>
    <i>
      <x v="2"/>
    </i>
  </colItems>
  <dataFields count="1">
    <dataField fld="0" subtotal="count" baseField="0" baseItem="0"/>
  </dataFields>
  <chartFormats count="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solved-Breached Tickets"/>
    <pivotHierarchy dragToRow="0" dragToCol="0" dragToPage="0" dragToData="1" caption="Resolved Within-SLA Ticket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3.xml><?xml version="1.0" encoding="utf-8"?>
<pivotTableDefinition xmlns="http://schemas.openxmlformats.org/spreadsheetml/2006/main" name="PivotTable3" cacheId="50" applyNumberFormats="0" applyBorderFormats="0" applyFontFormats="0" applyPatternFormats="0" applyAlignmentFormats="0" applyWidthHeightFormats="1" dataCaption="Values" updatedVersion="6" minRefreshableVersion="3" useAutoFormatting="1" subtotalHiddenItems="1" rowGrandTotals="0" colGrandTotals="0" itemPrintTitles="1" createdVersion="6" indent="0" outline="1" outlineData="1" multipleFieldFilters="0" chartFormat="13">
  <location ref="A54:B57" firstHeaderRow="1" firstDataRow="1" firstDataCol="1"/>
  <pivotFields count="2">
    <pivotField dataField="1" showAll="0"/>
    <pivotField axis="axisRow" allDrilled="1" showAll="0" dataSourceSort="1" defaultAttributeDrillState="1">
      <items count="4">
        <item x="0"/>
        <item x="1"/>
        <item x="2"/>
        <item t="default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1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solved-Breached Tickets"/>
    <pivotHierarchy dragToRow="0" dragToCol="0" dragToPage="0" dragToData="1" caption="Resolved Within-SLA Ticket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4.xml><?xml version="1.0" encoding="utf-8"?>
<pivotTableDefinition xmlns="http://schemas.openxmlformats.org/spreadsheetml/2006/main" name="PivotTable2" cacheId="40" applyNumberFormats="0" applyBorderFormats="0" applyFontFormats="0" applyPatternFormats="0" applyAlignmentFormats="0" applyWidthHeightFormats="1" dataCaption="Values" updatedVersion="6" minRefreshableVersion="3" useAutoFormatting="1" subtotalHiddenItems="1" rowGrandTotals="0" colGrandTotals="0" itemPrintTitles="1" createdVersion="6" indent="0" outline="1" outlineData="1" multipleFieldFilters="0" chartFormat="9">
  <location ref="A36:E43" firstHeaderRow="1" firstDataRow="2" firstDataCol="1"/>
  <pivotFields count="3">
    <pivotField axis="axisRow" allDrilled="1" showAll="0" defaultSubtotal="0" defaultAttributeDrillState="1">
      <items count="6">
        <item x="0"/>
        <item x="1"/>
        <item x="2"/>
        <item x="3"/>
        <item x="4"/>
        <item x="5"/>
      </items>
    </pivotField>
    <pivotField axis="axisCol" allDrilled="1" showAll="0" dataSourceSort="1" defaultSubtotal="0" defaultAttributeDrillState="1">
      <items count="4">
        <item x="0"/>
        <item x="1"/>
        <item x="2"/>
        <item x="3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fld="2" subtotal="count" baseField="0" baseItem="0"/>
  </dataField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solved-Breached Tickets"/>
    <pivotHierarchy dragToRow="0" dragToCol="0" dragToPage="0" dragToData="1" caption="Resolved Within-SLA Ticket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5.xml><?xml version="1.0" encoding="utf-8"?>
<pivotTableDefinition xmlns="http://schemas.openxmlformats.org/spreadsheetml/2006/main" name="PivotTable1" cacheId="2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A20:C27" firstHeaderRow="0" firstDataRow="1" firstDataCol="1"/>
  <pivotFields count="3">
    <pivotField axis="axisRow" allDrilled="1" showAll="0" defaultAttributeDrillState="1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Resolved Within-SLA Tickets" fld="1" subtotal="count" baseField="0" baseItem="0"/>
    <dataField name="Resolved-Breached Tickets" fld="2" subtotal="count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Resolved-Breached Tickets"/>
    <pivotHierarchy dragToRow="0" dragToCol="0" dragToPage="0" dragToData="1" caption="Resolved Within-SLA Ticket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pivotTables/pivotTable16.xml><?xml version="1.0" encoding="utf-8"?>
<pivotTableDefinition xmlns="http://schemas.openxmlformats.org/spreadsheetml/2006/main" name="PivotTable19" cacheId="1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A3:B10" firstHeaderRow="1" firstDataRow="1" firstDataCol="1"/>
  <pivotFields count="2">
    <pivotField axis="axisRow" allDrilled="1" showAll="0" sortType="descending" defaultAttributeDrillState="1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7">
    <i>
      <x v="2"/>
    </i>
    <i>
      <x v="4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w_support_tickets]"/>
      </x15:pivotTableUISettings>
    </ext>
  </extLst>
</pivotTableDefinition>
</file>

<file path=xl/tables/table1.xml><?xml version="1.0" encoding="utf-8"?>
<table xmlns="http://schemas.openxmlformats.org/spreadsheetml/2006/main" id="2" name="Table2" displayName="Table2" ref="A45:E51" totalsRowShown="0" headerRowDxfId="2" dataDxfId="3">
  <tableColumns count="5">
    <tableColumn id="1" name="Issue Category" dataDxfId="0"/>
    <tableColumn id="2" name="P1" dataDxfId="1"/>
    <tableColumn id="3" name="P2" dataDxfId="6"/>
    <tableColumn id="4" name="P3" dataDxfId="5"/>
    <tableColumn id="5" name="P4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14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16.xml"/><Relationship Id="rId4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65"/>
  <sheetViews>
    <sheetView workbookViewId="0">
      <selection activeCell="B6" sqref="B6"/>
    </sheetView>
  </sheetViews>
  <sheetFormatPr defaultRowHeight="15" x14ac:dyDescent="0.25"/>
  <cols>
    <col min="1" max="1" width="23.85546875" customWidth="1"/>
    <col min="2" max="2" width="22.140625" customWidth="1"/>
    <col min="3" max="3" width="26.42578125" bestFit="1" customWidth="1"/>
    <col min="4" max="4" width="20" customWidth="1"/>
    <col min="5" max="5" width="20" bestFit="1" customWidth="1"/>
    <col min="6" max="6" width="13.140625" bestFit="1" customWidth="1"/>
    <col min="7" max="7" width="20" customWidth="1"/>
    <col min="8" max="8" width="23.85546875" bestFit="1" customWidth="1"/>
    <col min="9" max="9" width="22.140625" bestFit="1" customWidth="1"/>
    <col min="10" max="10" width="26.42578125" bestFit="1" customWidth="1"/>
    <col min="11" max="11" width="20" customWidth="1"/>
    <col min="12" max="12" width="22.140625" customWidth="1"/>
    <col min="13" max="13" width="26.42578125" customWidth="1"/>
    <col min="14" max="14" width="20" customWidth="1"/>
    <col min="15" max="15" width="20" bestFit="1" customWidth="1"/>
  </cols>
  <sheetData>
    <row r="2" spans="2:11" ht="15.75" x14ac:dyDescent="0.25">
      <c r="B2" s="2" t="s">
        <v>0</v>
      </c>
      <c r="D2" s="4" t="s">
        <v>1</v>
      </c>
      <c r="E2" s="2" t="s">
        <v>0</v>
      </c>
      <c r="H2" s="11"/>
    </row>
    <row r="3" spans="2:11" ht="15.75" x14ac:dyDescent="0.25">
      <c r="B3" s="13">
        <v>3000</v>
      </c>
      <c r="D3" s="9" t="s">
        <v>9</v>
      </c>
      <c r="E3" s="10">
        <v>622</v>
      </c>
      <c r="H3" s="12"/>
    </row>
    <row r="4" spans="2:11" ht="15.75" x14ac:dyDescent="0.25">
      <c r="D4" s="2" t="s">
        <v>10</v>
      </c>
      <c r="E4" s="3">
        <v>180</v>
      </c>
    </row>
    <row r="5" spans="2:11" ht="15.75" x14ac:dyDescent="0.25">
      <c r="B5" s="2" t="s">
        <v>14</v>
      </c>
      <c r="D5" s="2" t="s">
        <v>11</v>
      </c>
      <c r="E5" s="3">
        <v>327</v>
      </c>
    </row>
    <row r="6" spans="2:11" ht="15.75" x14ac:dyDescent="0.25">
      <c r="B6" s="13">
        <v>622</v>
      </c>
      <c r="C6" s="2"/>
      <c r="D6" s="2" t="s">
        <v>12</v>
      </c>
      <c r="E6" s="3">
        <v>2</v>
      </c>
    </row>
    <row r="7" spans="2:11" ht="15.75" x14ac:dyDescent="0.25">
      <c r="C7" s="3"/>
      <c r="D7" s="9" t="s">
        <v>13</v>
      </c>
      <c r="E7" s="10">
        <v>1869</v>
      </c>
    </row>
    <row r="8" spans="2:11" ht="15.75" x14ac:dyDescent="0.25">
      <c r="B8" s="2" t="s">
        <v>15</v>
      </c>
      <c r="C8" s="3"/>
      <c r="D8" s="2" t="s">
        <v>8</v>
      </c>
      <c r="E8" s="3">
        <v>3000</v>
      </c>
      <c r="H8" s="5" t="s">
        <v>1</v>
      </c>
      <c r="I8" t="s">
        <v>16</v>
      </c>
      <c r="J8" t="s">
        <v>14</v>
      </c>
      <c r="K8" t="s">
        <v>17</v>
      </c>
    </row>
    <row r="9" spans="2:11" ht="15.75" x14ac:dyDescent="0.25">
      <c r="B9" s="13">
        <v>1869</v>
      </c>
      <c r="C9" s="3"/>
      <c r="E9" s="2"/>
      <c r="H9" s="6" t="s">
        <v>2</v>
      </c>
      <c r="I9" s="7">
        <v>408</v>
      </c>
      <c r="J9" s="7">
        <v>62</v>
      </c>
      <c r="K9" s="8">
        <v>0.15196078431372548</v>
      </c>
    </row>
    <row r="10" spans="2:11" ht="15.75" x14ac:dyDescent="0.25">
      <c r="C10" s="3"/>
      <c r="E10" s="2"/>
      <c r="H10" s="30" t="s">
        <v>18</v>
      </c>
      <c r="I10" s="7">
        <v>28</v>
      </c>
      <c r="J10" s="7">
        <v>9</v>
      </c>
      <c r="K10" s="29">
        <v>0.32142857142857145</v>
      </c>
    </row>
    <row r="11" spans="2:11" ht="15.75" x14ac:dyDescent="0.25">
      <c r="B11" s="2" t="s">
        <v>16</v>
      </c>
      <c r="C11" s="3"/>
      <c r="E11" s="2"/>
      <c r="H11" s="25" t="s">
        <v>19</v>
      </c>
      <c r="I11" s="7">
        <v>51</v>
      </c>
      <c r="J11" s="7">
        <v>10</v>
      </c>
      <c r="K11" s="8">
        <v>0.19607843137254902</v>
      </c>
    </row>
    <row r="12" spans="2:11" ht="15.75" x14ac:dyDescent="0.25">
      <c r="B12" s="13">
        <v>2491</v>
      </c>
      <c r="E12" s="2"/>
      <c r="H12" s="26" t="s">
        <v>20</v>
      </c>
      <c r="I12" s="27">
        <v>169</v>
      </c>
      <c r="J12" s="27">
        <v>25</v>
      </c>
      <c r="K12" s="28">
        <v>0.14792899408284024</v>
      </c>
    </row>
    <row r="13" spans="2:11" x14ac:dyDescent="0.25">
      <c r="H13" s="25" t="s">
        <v>21</v>
      </c>
      <c r="I13" s="7">
        <v>160</v>
      </c>
      <c r="J13" s="7">
        <v>18</v>
      </c>
      <c r="K13" s="8">
        <v>0.1125</v>
      </c>
    </row>
    <row r="14" spans="2:11" ht="15.75" x14ac:dyDescent="0.25">
      <c r="B14" s="2" t="s">
        <v>17</v>
      </c>
      <c r="H14" s="6" t="s">
        <v>3</v>
      </c>
      <c r="I14" s="7">
        <v>401</v>
      </c>
      <c r="J14" s="7">
        <v>84</v>
      </c>
      <c r="K14" s="8">
        <v>0.20947630922693267</v>
      </c>
    </row>
    <row r="15" spans="2:11" ht="15.75" x14ac:dyDescent="0.25">
      <c r="B15" s="14">
        <v>0.24969891609795264</v>
      </c>
      <c r="H15" s="25" t="s">
        <v>18</v>
      </c>
      <c r="I15" s="7">
        <v>21</v>
      </c>
      <c r="J15" s="7">
        <v>4</v>
      </c>
      <c r="K15" s="8">
        <v>0.19047619047619047</v>
      </c>
    </row>
    <row r="16" spans="2:11" x14ac:dyDescent="0.25">
      <c r="H16" s="30" t="s">
        <v>19</v>
      </c>
      <c r="I16" s="7">
        <v>55</v>
      </c>
      <c r="J16" s="7">
        <v>16</v>
      </c>
      <c r="K16" s="29">
        <v>0.29090909090909089</v>
      </c>
    </row>
    <row r="17" spans="1:11" x14ac:dyDescent="0.25">
      <c r="H17" s="26" t="s">
        <v>20</v>
      </c>
      <c r="I17" s="27">
        <v>196</v>
      </c>
      <c r="J17" s="27">
        <v>45</v>
      </c>
      <c r="K17" s="28">
        <v>0.22959183673469388</v>
      </c>
    </row>
    <row r="18" spans="1:11" x14ac:dyDescent="0.25">
      <c r="A18" s="5" t="s">
        <v>1</v>
      </c>
      <c r="B18" t="s">
        <v>0</v>
      </c>
      <c r="C18" t="s">
        <v>16</v>
      </c>
      <c r="D18" t="s">
        <v>14</v>
      </c>
      <c r="E18" t="s">
        <v>17</v>
      </c>
      <c r="H18" s="25" t="s">
        <v>21</v>
      </c>
      <c r="I18" s="7">
        <v>129</v>
      </c>
      <c r="J18" s="7">
        <v>19</v>
      </c>
      <c r="K18" s="8">
        <v>0.14728682170542637</v>
      </c>
    </row>
    <row r="19" spans="1:11" x14ac:dyDescent="0.25">
      <c r="A19" s="22" t="s">
        <v>4</v>
      </c>
      <c r="B19" s="19">
        <v>478</v>
      </c>
      <c r="C19" s="20">
        <v>402</v>
      </c>
      <c r="D19" s="20">
        <v>152</v>
      </c>
      <c r="E19" s="23">
        <v>0.37810945273631841</v>
      </c>
      <c r="H19" s="6" t="s">
        <v>4</v>
      </c>
      <c r="I19" s="7">
        <v>402</v>
      </c>
      <c r="J19" s="7">
        <v>152</v>
      </c>
      <c r="K19" s="8">
        <v>0.37810945273631841</v>
      </c>
    </row>
    <row r="20" spans="1:11" x14ac:dyDescent="0.25">
      <c r="A20" s="22" t="s">
        <v>6</v>
      </c>
      <c r="B20" s="19">
        <v>513</v>
      </c>
      <c r="C20" s="20">
        <v>406</v>
      </c>
      <c r="D20" s="20">
        <v>148</v>
      </c>
      <c r="E20" s="23">
        <v>0.3645320197044335</v>
      </c>
      <c r="H20" s="30" t="s">
        <v>18</v>
      </c>
      <c r="I20" s="7">
        <v>17</v>
      </c>
      <c r="J20" s="7">
        <v>9</v>
      </c>
      <c r="K20" s="29">
        <v>0.52941176470588236</v>
      </c>
    </row>
    <row r="21" spans="1:11" x14ac:dyDescent="0.25">
      <c r="A21" s="6" t="s">
        <v>5</v>
      </c>
      <c r="B21" s="18">
        <v>540</v>
      </c>
      <c r="C21" s="21">
        <v>462</v>
      </c>
      <c r="D21" s="17">
        <v>103</v>
      </c>
      <c r="E21" s="15">
        <v>0.22294372294372294</v>
      </c>
      <c r="H21" s="25" t="s">
        <v>19</v>
      </c>
      <c r="I21" s="7">
        <v>64</v>
      </c>
      <c r="J21" s="7">
        <v>25</v>
      </c>
      <c r="K21" s="8">
        <v>0.390625</v>
      </c>
    </row>
    <row r="22" spans="1:11" x14ac:dyDescent="0.25">
      <c r="A22" s="6" t="s">
        <v>3</v>
      </c>
      <c r="B22" s="16">
        <v>491</v>
      </c>
      <c r="C22" s="17">
        <v>401</v>
      </c>
      <c r="D22" s="17">
        <v>84</v>
      </c>
      <c r="E22" s="15">
        <v>0.20947630922693267</v>
      </c>
      <c r="H22" s="26" t="s">
        <v>20</v>
      </c>
      <c r="I22" s="27">
        <v>180</v>
      </c>
      <c r="J22" s="27">
        <v>64</v>
      </c>
      <c r="K22" s="28">
        <v>0.35555555555555557</v>
      </c>
    </row>
    <row r="23" spans="1:11" x14ac:dyDescent="0.25">
      <c r="A23" s="6" t="s">
        <v>7</v>
      </c>
      <c r="B23" s="16">
        <v>497</v>
      </c>
      <c r="C23" s="17">
        <v>412</v>
      </c>
      <c r="D23" s="17">
        <v>73</v>
      </c>
      <c r="E23" s="15">
        <v>0.17718446601941748</v>
      </c>
      <c r="H23" s="25" t="s">
        <v>21</v>
      </c>
      <c r="I23" s="7">
        <v>141</v>
      </c>
      <c r="J23" s="7">
        <v>54</v>
      </c>
      <c r="K23" s="8">
        <v>0.38297872340425532</v>
      </c>
    </row>
    <row r="24" spans="1:11" x14ac:dyDescent="0.25">
      <c r="A24" s="6" t="s">
        <v>2</v>
      </c>
      <c r="B24" s="16">
        <v>481</v>
      </c>
      <c r="C24" s="17">
        <v>408</v>
      </c>
      <c r="D24" s="17">
        <v>62</v>
      </c>
      <c r="E24" s="15">
        <v>0.15196078431372548</v>
      </c>
      <c r="H24" s="6" t="s">
        <v>5</v>
      </c>
      <c r="I24" s="7">
        <v>462</v>
      </c>
      <c r="J24" s="7">
        <v>103</v>
      </c>
      <c r="K24" s="8">
        <v>0.22294372294372294</v>
      </c>
    </row>
    <row r="25" spans="1:11" x14ac:dyDescent="0.25">
      <c r="A25" s="6" t="s">
        <v>8</v>
      </c>
      <c r="B25" s="1">
        <v>3000</v>
      </c>
      <c r="C25" s="7">
        <v>2491</v>
      </c>
      <c r="D25" s="7">
        <v>622</v>
      </c>
      <c r="E25" s="8">
        <v>0.24969891609795264</v>
      </c>
      <c r="H25" s="30" t="s">
        <v>18</v>
      </c>
      <c r="I25" s="7">
        <v>29</v>
      </c>
      <c r="J25" s="7">
        <v>9</v>
      </c>
      <c r="K25" s="29">
        <v>0.31034482758620691</v>
      </c>
    </row>
    <row r="26" spans="1:11" x14ac:dyDescent="0.25">
      <c r="H26" s="25" t="s">
        <v>19</v>
      </c>
      <c r="I26" s="7">
        <v>70</v>
      </c>
      <c r="J26" s="7">
        <v>20</v>
      </c>
      <c r="K26" s="8">
        <v>0.2857142857142857</v>
      </c>
    </row>
    <row r="27" spans="1:11" x14ac:dyDescent="0.25">
      <c r="H27" s="26" t="s">
        <v>20</v>
      </c>
      <c r="I27" s="27">
        <v>198</v>
      </c>
      <c r="J27" s="27">
        <v>46</v>
      </c>
      <c r="K27" s="28">
        <v>0.23232323232323232</v>
      </c>
    </row>
    <row r="28" spans="1:11" x14ac:dyDescent="0.25">
      <c r="A28" s="5" t="s">
        <v>17</v>
      </c>
      <c r="B28" s="5" t="s">
        <v>22</v>
      </c>
      <c r="H28" s="25" t="s">
        <v>21</v>
      </c>
      <c r="I28" s="7">
        <v>165</v>
      </c>
      <c r="J28" s="7">
        <v>28</v>
      </c>
      <c r="K28" s="8">
        <v>0.16969696969696971</v>
      </c>
    </row>
    <row r="29" spans="1:11" x14ac:dyDescent="0.25">
      <c r="A29" s="5" t="s">
        <v>1</v>
      </c>
      <c r="B29" t="s">
        <v>18</v>
      </c>
      <c r="C29" t="s">
        <v>19</v>
      </c>
      <c r="D29" t="s">
        <v>20</v>
      </c>
      <c r="E29" t="s">
        <v>21</v>
      </c>
      <c r="F29" t="s">
        <v>8</v>
      </c>
      <c r="H29" s="6" t="s">
        <v>6</v>
      </c>
      <c r="I29" s="7">
        <v>406</v>
      </c>
      <c r="J29" s="7">
        <v>148</v>
      </c>
      <c r="K29" s="8">
        <v>0.3645320197044335</v>
      </c>
    </row>
    <row r="30" spans="1:11" x14ac:dyDescent="0.25">
      <c r="A30" s="22" t="s">
        <v>4</v>
      </c>
      <c r="B30" s="24">
        <v>0.52941176470588236</v>
      </c>
      <c r="C30" s="8">
        <v>0.390625</v>
      </c>
      <c r="D30" s="8">
        <v>0.35555555555555557</v>
      </c>
      <c r="E30" s="8">
        <v>0.38297872340425532</v>
      </c>
      <c r="F30" s="8">
        <v>0.37810945273631841</v>
      </c>
      <c r="H30" s="30" t="s">
        <v>18</v>
      </c>
      <c r="I30" s="7">
        <v>28</v>
      </c>
      <c r="J30" s="7">
        <v>15</v>
      </c>
      <c r="K30" s="29">
        <v>0.5357142857142857</v>
      </c>
    </row>
    <row r="31" spans="1:11" x14ac:dyDescent="0.25">
      <c r="A31" s="22" t="s">
        <v>6</v>
      </c>
      <c r="B31" s="24">
        <v>0.5357142857142857</v>
      </c>
      <c r="C31" s="8">
        <v>0.375</v>
      </c>
      <c r="D31" s="8">
        <v>0.41477272727272729</v>
      </c>
      <c r="E31" s="8">
        <v>0.26712328767123289</v>
      </c>
      <c r="F31" s="8">
        <v>0.3645320197044335</v>
      </c>
      <c r="H31" s="25" t="s">
        <v>19</v>
      </c>
      <c r="I31" s="7">
        <v>56</v>
      </c>
      <c r="J31" s="7">
        <v>21</v>
      </c>
      <c r="K31" s="8">
        <v>0.375</v>
      </c>
    </row>
    <row r="32" spans="1:11" x14ac:dyDescent="0.25">
      <c r="A32" s="6" t="s">
        <v>5</v>
      </c>
      <c r="B32" s="24">
        <v>0.31034482758620691</v>
      </c>
      <c r="C32" s="8">
        <v>0.2857142857142857</v>
      </c>
      <c r="D32" s="8">
        <v>0.23232323232323232</v>
      </c>
      <c r="E32" s="8">
        <v>0.16969696969696971</v>
      </c>
      <c r="F32" s="8">
        <v>0.22294372294372294</v>
      </c>
      <c r="H32" s="26" t="s">
        <v>20</v>
      </c>
      <c r="I32" s="27">
        <v>176</v>
      </c>
      <c r="J32" s="27">
        <v>73</v>
      </c>
      <c r="K32" s="28">
        <v>0.41477272727272729</v>
      </c>
    </row>
    <row r="33" spans="1:11" x14ac:dyDescent="0.25">
      <c r="A33" s="6" t="s">
        <v>3</v>
      </c>
      <c r="B33" s="8">
        <v>0.19047619047619047</v>
      </c>
      <c r="C33" s="24">
        <v>0.29090909090909089</v>
      </c>
      <c r="D33" s="8">
        <v>0.22959183673469388</v>
      </c>
      <c r="E33" s="8">
        <v>0.14728682170542637</v>
      </c>
      <c r="F33" s="8">
        <v>0.20947630922693267</v>
      </c>
      <c r="H33" s="25" t="s">
        <v>21</v>
      </c>
      <c r="I33" s="7">
        <v>146</v>
      </c>
      <c r="J33" s="7">
        <v>39</v>
      </c>
      <c r="K33" s="8">
        <v>0.26712328767123289</v>
      </c>
    </row>
    <row r="34" spans="1:11" x14ac:dyDescent="0.25">
      <c r="A34" s="6" t="s">
        <v>7</v>
      </c>
      <c r="B34" s="24">
        <v>0.36</v>
      </c>
      <c r="C34" s="8">
        <v>0.12903225806451613</v>
      </c>
      <c r="D34" s="8">
        <v>0.1864406779661017</v>
      </c>
      <c r="E34" s="8">
        <v>0.1554054054054054</v>
      </c>
      <c r="F34" s="8">
        <v>0.17718446601941748</v>
      </c>
      <c r="H34" s="6" t="s">
        <v>7</v>
      </c>
      <c r="I34" s="7">
        <v>412</v>
      </c>
      <c r="J34" s="7">
        <v>73</v>
      </c>
      <c r="K34" s="8">
        <v>0.17718446601941748</v>
      </c>
    </row>
    <row r="35" spans="1:11" x14ac:dyDescent="0.25">
      <c r="A35" s="6" t="s">
        <v>2</v>
      </c>
      <c r="B35" s="24">
        <v>0.32142857142857145</v>
      </c>
      <c r="C35" s="8">
        <v>0.19607843137254902</v>
      </c>
      <c r="D35" s="8">
        <v>0.14792899408284024</v>
      </c>
      <c r="E35" s="8">
        <v>0.1125</v>
      </c>
      <c r="F35" s="8">
        <v>0.15196078431372548</v>
      </c>
      <c r="H35" s="30" t="s">
        <v>18</v>
      </c>
      <c r="I35" s="7">
        <v>25</v>
      </c>
      <c r="J35" s="7">
        <v>9</v>
      </c>
      <c r="K35" s="29">
        <v>0.36</v>
      </c>
    </row>
    <row r="36" spans="1:11" x14ac:dyDescent="0.25">
      <c r="A36" s="6" t="s">
        <v>8</v>
      </c>
      <c r="B36" s="8">
        <v>0.3716216216216216</v>
      </c>
      <c r="C36" s="8">
        <v>0.27932960893854747</v>
      </c>
      <c r="D36" s="8">
        <v>0.26094890510948904</v>
      </c>
      <c r="E36" s="8">
        <v>0.20359955005624297</v>
      </c>
      <c r="F36" s="8">
        <v>0.24969891609795264</v>
      </c>
      <c r="H36" s="25" t="s">
        <v>19</v>
      </c>
      <c r="I36" s="7">
        <v>62</v>
      </c>
      <c r="J36" s="7">
        <v>8</v>
      </c>
      <c r="K36" s="8">
        <v>0.12903225806451613</v>
      </c>
    </row>
    <row r="37" spans="1:11" x14ac:dyDescent="0.25">
      <c r="H37" s="26" t="s">
        <v>20</v>
      </c>
      <c r="I37" s="27">
        <v>177</v>
      </c>
      <c r="J37" s="27">
        <v>33</v>
      </c>
      <c r="K37" s="28">
        <v>0.1864406779661017</v>
      </c>
    </row>
    <row r="38" spans="1:11" x14ac:dyDescent="0.25">
      <c r="H38" s="25" t="s">
        <v>21</v>
      </c>
      <c r="I38" s="7">
        <v>148</v>
      </c>
      <c r="J38" s="7">
        <v>23</v>
      </c>
      <c r="K38" s="8">
        <v>0.1554054054054054</v>
      </c>
    </row>
    <row r="39" spans="1:11" x14ac:dyDescent="0.25">
      <c r="H39" s="6" t="s">
        <v>8</v>
      </c>
      <c r="I39" s="7">
        <v>2491</v>
      </c>
      <c r="J39" s="7">
        <v>622</v>
      </c>
      <c r="K39" s="8">
        <v>0.24969891609795264</v>
      </c>
    </row>
    <row r="40" spans="1:11" x14ac:dyDescent="0.25">
      <c r="A40" s="5" t="s">
        <v>1</v>
      </c>
      <c r="B40" t="s">
        <v>16</v>
      </c>
      <c r="C40" t="s">
        <v>14</v>
      </c>
      <c r="D40" t="s">
        <v>17</v>
      </c>
    </row>
    <row r="41" spans="1:11" x14ac:dyDescent="0.25">
      <c r="A41" s="6" t="s">
        <v>2</v>
      </c>
      <c r="B41" s="7">
        <v>408</v>
      </c>
      <c r="C41" s="7">
        <v>62</v>
      </c>
      <c r="D41" s="8">
        <v>0.15196078431372548</v>
      </c>
    </row>
    <row r="42" spans="1:11" x14ac:dyDescent="0.25">
      <c r="A42" s="25" t="s">
        <v>23</v>
      </c>
      <c r="B42" s="7">
        <v>140</v>
      </c>
      <c r="C42" s="7">
        <v>19</v>
      </c>
      <c r="D42" s="8">
        <v>0.1357142857142857</v>
      </c>
      <c r="F42" s="5" t="s">
        <v>1</v>
      </c>
      <c r="G42" t="s">
        <v>17</v>
      </c>
    </row>
    <row r="43" spans="1:11" x14ac:dyDescent="0.25">
      <c r="A43" s="25" t="s">
        <v>24</v>
      </c>
      <c r="B43" s="7">
        <v>127</v>
      </c>
      <c r="C43" s="7">
        <v>17</v>
      </c>
      <c r="D43" s="8">
        <v>0.13385826771653545</v>
      </c>
      <c r="F43" s="6" t="s">
        <v>23</v>
      </c>
      <c r="G43" s="8">
        <v>0.21695760598503741</v>
      </c>
    </row>
    <row r="44" spans="1:11" x14ac:dyDescent="0.25">
      <c r="A44" s="30" t="s">
        <v>25</v>
      </c>
      <c r="B44" s="31">
        <v>141</v>
      </c>
      <c r="C44" s="31">
        <v>26</v>
      </c>
      <c r="D44" s="29">
        <v>0.18439716312056736</v>
      </c>
      <c r="F44" s="6" t="s">
        <v>24</v>
      </c>
      <c r="G44" s="8">
        <v>0.23563218390804597</v>
      </c>
    </row>
    <row r="45" spans="1:11" x14ac:dyDescent="0.25">
      <c r="A45" s="6" t="s">
        <v>3</v>
      </c>
      <c r="B45" s="7">
        <v>401</v>
      </c>
      <c r="C45" s="7">
        <v>84</v>
      </c>
      <c r="D45" s="8">
        <v>0.20947630922693267</v>
      </c>
      <c r="F45" s="22" t="s">
        <v>25</v>
      </c>
      <c r="G45" s="24">
        <v>0.2967032967032967</v>
      </c>
    </row>
    <row r="46" spans="1:11" x14ac:dyDescent="0.25">
      <c r="A46" s="25" t="s">
        <v>23</v>
      </c>
      <c r="B46" s="7">
        <v>128</v>
      </c>
      <c r="C46" s="7">
        <v>23</v>
      </c>
      <c r="D46" s="8">
        <v>0.1796875</v>
      </c>
      <c r="F46" s="6" t="s">
        <v>8</v>
      </c>
      <c r="G46" s="8">
        <v>0.24969891609795264</v>
      </c>
    </row>
    <row r="47" spans="1:11" x14ac:dyDescent="0.25">
      <c r="A47" s="25" t="s">
        <v>24</v>
      </c>
      <c r="B47" s="7">
        <v>132</v>
      </c>
      <c r="C47" s="7">
        <v>26</v>
      </c>
      <c r="D47" s="8">
        <v>0.19696969696969696</v>
      </c>
    </row>
    <row r="48" spans="1:11" x14ac:dyDescent="0.25">
      <c r="A48" s="30" t="s">
        <v>25</v>
      </c>
      <c r="B48" s="31">
        <v>141</v>
      </c>
      <c r="C48" s="31">
        <v>35</v>
      </c>
      <c r="D48" s="29">
        <v>0.24822695035460993</v>
      </c>
    </row>
    <row r="49" spans="1:4" x14ac:dyDescent="0.25">
      <c r="A49" s="6" t="s">
        <v>4</v>
      </c>
      <c r="B49" s="7">
        <v>402</v>
      </c>
      <c r="C49" s="7">
        <v>152</v>
      </c>
      <c r="D49" s="8">
        <v>0.37810945273631841</v>
      </c>
    </row>
    <row r="50" spans="1:4" x14ac:dyDescent="0.25">
      <c r="A50" s="25" t="s">
        <v>23</v>
      </c>
      <c r="B50" s="7">
        <v>130</v>
      </c>
      <c r="C50" s="7">
        <v>43</v>
      </c>
      <c r="D50" s="8">
        <v>0.33076923076923076</v>
      </c>
    </row>
    <row r="51" spans="1:4" x14ac:dyDescent="0.25">
      <c r="A51" s="25" t="s">
        <v>24</v>
      </c>
      <c r="B51" s="27">
        <v>147</v>
      </c>
      <c r="C51" s="7">
        <v>54</v>
      </c>
      <c r="D51" s="8">
        <v>0.36734693877551022</v>
      </c>
    </row>
    <row r="52" spans="1:4" x14ac:dyDescent="0.25">
      <c r="A52" s="30" t="s">
        <v>25</v>
      </c>
      <c r="B52" s="7">
        <v>125</v>
      </c>
      <c r="C52" s="27">
        <v>55</v>
      </c>
      <c r="D52" s="29">
        <v>0.44</v>
      </c>
    </row>
    <row r="53" spans="1:4" x14ac:dyDescent="0.25">
      <c r="A53" s="6" t="s">
        <v>5</v>
      </c>
      <c r="B53" s="7">
        <v>462</v>
      </c>
      <c r="C53" s="7">
        <v>103</v>
      </c>
      <c r="D53" s="8">
        <v>0.22294372294372294</v>
      </c>
    </row>
    <row r="54" spans="1:4" x14ac:dyDescent="0.25">
      <c r="A54" s="25" t="s">
        <v>23</v>
      </c>
      <c r="B54" s="7">
        <v>139</v>
      </c>
      <c r="C54" s="7">
        <v>31</v>
      </c>
      <c r="D54" s="8">
        <v>0.22302158273381295</v>
      </c>
    </row>
    <row r="55" spans="1:4" x14ac:dyDescent="0.25">
      <c r="A55" s="25" t="s">
        <v>24</v>
      </c>
      <c r="B55" s="7">
        <v>161</v>
      </c>
      <c r="C55" s="7">
        <v>33</v>
      </c>
      <c r="D55" s="8">
        <v>0.20496894409937888</v>
      </c>
    </row>
    <row r="56" spans="1:4" x14ac:dyDescent="0.25">
      <c r="A56" s="30" t="s">
        <v>25</v>
      </c>
      <c r="B56" s="31">
        <v>162</v>
      </c>
      <c r="C56" s="31">
        <v>39</v>
      </c>
      <c r="D56" s="29">
        <v>0.24074074074074073</v>
      </c>
    </row>
    <row r="57" spans="1:4" x14ac:dyDescent="0.25">
      <c r="A57" s="6" t="s">
        <v>6</v>
      </c>
      <c r="B57" s="7">
        <v>406</v>
      </c>
      <c r="C57" s="7">
        <v>148</v>
      </c>
      <c r="D57" s="8">
        <v>0.3645320197044335</v>
      </c>
    </row>
    <row r="58" spans="1:4" x14ac:dyDescent="0.25">
      <c r="A58" s="25" t="s">
        <v>23</v>
      </c>
      <c r="B58" s="7">
        <v>117</v>
      </c>
      <c r="C58" s="7">
        <v>40</v>
      </c>
      <c r="D58" s="8">
        <v>0.34188034188034189</v>
      </c>
    </row>
    <row r="59" spans="1:4" x14ac:dyDescent="0.25">
      <c r="A59" s="25" t="s">
        <v>24</v>
      </c>
      <c r="B59" s="27">
        <v>160</v>
      </c>
      <c r="C59" s="7">
        <v>52</v>
      </c>
      <c r="D59" s="8">
        <v>0.32500000000000001</v>
      </c>
    </row>
    <row r="60" spans="1:4" x14ac:dyDescent="0.25">
      <c r="A60" s="30" t="s">
        <v>25</v>
      </c>
      <c r="B60" s="7">
        <v>129</v>
      </c>
      <c r="C60" s="27">
        <v>56</v>
      </c>
      <c r="D60" s="29">
        <v>0.43410852713178294</v>
      </c>
    </row>
    <row r="61" spans="1:4" x14ac:dyDescent="0.25">
      <c r="A61" s="6" t="s">
        <v>7</v>
      </c>
      <c r="B61" s="7">
        <v>412</v>
      </c>
      <c r="C61" s="7">
        <v>73</v>
      </c>
      <c r="D61" s="8">
        <v>0.17718446601941748</v>
      </c>
    </row>
    <row r="62" spans="1:4" x14ac:dyDescent="0.25">
      <c r="A62" s="25" t="s">
        <v>23</v>
      </c>
      <c r="B62" s="27">
        <v>148</v>
      </c>
      <c r="C62" s="7">
        <v>18</v>
      </c>
      <c r="D62" s="8">
        <v>0.12162162162162163</v>
      </c>
    </row>
    <row r="63" spans="1:4" x14ac:dyDescent="0.25">
      <c r="A63" s="25" t="s">
        <v>24</v>
      </c>
      <c r="B63" s="7">
        <v>143</v>
      </c>
      <c r="C63" s="7">
        <v>23</v>
      </c>
      <c r="D63" s="8">
        <v>0.16083916083916083</v>
      </c>
    </row>
    <row r="64" spans="1:4" x14ac:dyDescent="0.25">
      <c r="A64" s="30" t="s">
        <v>25</v>
      </c>
      <c r="B64" s="7">
        <v>121</v>
      </c>
      <c r="C64" s="27">
        <v>32</v>
      </c>
      <c r="D64" s="29">
        <v>0.26446280991735538</v>
      </c>
    </row>
    <row r="65" spans="1:4" x14ac:dyDescent="0.25">
      <c r="A65" s="6" t="s">
        <v>8</v>
      </c>
      <c r="B65" s="7">
        <v>2491</v>
      </c>
      <c r="C65" s="7">
        <v>622</v>
      </c>
      <c r="D65" s="8">
        <v>0.24969891609795264</v>
      </c>
    </row>
  </sheetData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88"/>
  <sheetViews>
    <sheetView tabSelected="1" topLeftCell="A59" workbookViewId="0">
      <selection activeCell="B92" sqref="B92"/>
    </sheetView>
  </sheetViews>
  <sheetFormatPr defaultRowHeight="15" x14ac:dyDescent="0.25"/>
  <cols>
    <col min="1" max="1" width="21.85546875" customWidth="1"/>
    <col min="2" max="2" width="16.28515625" customWidth="1"/>
    <col min="3" max="3" width="10.28515625" customWidth="1"/>
    <col min="4" max="4" width="13.28515625" customWidth="1"/>
    <col min="5" max="5" width="7.140625" customWidth="1"/>
    <col min="6" max="6" width="11.28515625" bestFit="1" customWidth="1"/>
    <col min="7" max="7" width="16" customWidth="1"/>
    <col min="8" max="8" width="15.42578125" customWidth="1"/>
    <col min="9" max="9" width="13.5703125" customWidth="1"/>
  </cols>
  <sheetData>
    <row r="3" spans="1:2" x14ac:dyDescent="0.25">
      <c r="A3" s="5" t="s">
        <v>1</v>
      </c>
      <c r="B3" t="s">
        <v>17</v>
      </c>
    </row>
    <row r="4" spans="1:2" x14ac:dyDescent="0.25">
      <c r="A4" s="6" t="s">
        <v>4</v>
      </c>
      <c r="B4" s="8">
        <v>0.37810945273631841</v>
      </c>
    </row>
    <row r="5" spans="1:2" x14ac:dyDescent="0.25">
      <c r="A5" s="6" t="s">
        <v>6</v>
      </c>
      <c r="B5" s="8">
        <v>0.3645320197044335</v>
      </c>
    </row>
    <row r="6" spans="1:2" x14ac:dyDescent="0.25">
      <c r="A6" s="6" t="s">
        <v>5</v>
      </c>
      <c r="B6" s="8">
        <v>0.22294372294372294</v>
      </c>
    </row>
    <row r="7" spans="1:2" x14ac:dyDescent="0.25">
      <c r="A7" s="6" t="s">
        <v>3</v>
      </c>
      <c r="B7" s="8">
        <v>0.20947630922693267</v>
      </c>
    </row>
    <row r="8" spans="1:2" x14ac:dyDescent="0.25">
      <c r="A8" s="6" t="s">
        <v>7</v>
      </c>
      <c r="B8" s="8">
        <v>0.17718446601941748</v>
      </c>
    </row>
    <row r="9" spans="1:2" x14ac:dyDescent="0.25">
      <c r="A9" s="6" t="s">
        <v>2</v>
      </c>
      <c r="B9" s="8">
        <v>0.15196078431372548</v>
      </c>
    </row>
    <row r="10" spans="1:2" x14ac:dyDescent="0.25">
      <c r="A10" s="6" t="s">
        <v>8</v>
      </c>
      <c r="B10" s="8">
        <v>0.24969891609795264</v>
      </c>
    </row>
    <row r="20" spans="1:3" x14ac:dyDescent="0.25">
      <c r="A20" s="5" t="s">
        <v>1</v>
      </c>
      <c r="B20" t="s">
        <v>27</v>
      </c>
      <c r="C20" t="s">
        <v>26</v>
      </c>
    </row>
    <row r="21" spans="1:3" x14ac:dyDescent="0.25">
      <c r="A21" s="6" t="s">
        <v>2</v>
      </c>
      <c r="B21" s="7">
        <v>346</v>
      </c>
      <c r="C21" s="7">
        <v>62</v>
      </c>
    </row>
    <row r="22" spans="1:3" x14ac:dyDescent="0.25">
      <c r="A22" s="6" t="s">
        <v>3</v>
      </c>
      <c r="B22" s="7">
        <v>317</v>
      </c>
      <c r="C22" s="7">
        <v>84</v>
      </c>
    </row>
    <row r="23" spans="1:3" x14ac:dyDescent="0.25">
      <c r="A23" s="6" t="s">
        <v>4</v>
      </c>
      <c r="B23" s="7">
        <v>250</v>
      </c>
      <c r="C23" s="7">
        <v>152</v>
      </c>
    </row>
    <row r="24" spans="1:3" x14ac:dyDescent="0.25">
      <c r="A24" s="6" t="s">
        <v>5</v>
      </c>
      <c r="B24" s="7">
        <v>359</v>
      </c>
      <c r="C24" s="7">
        <v>103</v>
      </c>
    </row>
    <row r="25" spans="1:3" x14ac:dyDescent="0.25">
      <c r="A25" s="6" t="s">
        <v>6</v>
      </c>
      <c r="B25" s="7">
        <v>258</v>
      </c>
      <c r="C25" s="7">
        <v>148</v>
      </c>
    </row>
    <row r="26" spans="1:3" x14ac:dyDescent="0.25">
      <c r="A26" s="6" t="s">
        <v>7</v>
      </c>
      <c r="B26" s="7">
        <v>339</v>
      </c>
      <c r="C26" s="7">
        <v>73</v>
      </c>
    </row>
    <row r="27" spans="1:3" x14ac:dyDescent="0.25">
      <c r="A27" s="6" t="s">
        <v>8</v>
      </c>
      <c r="B27" s="7">
        <v>1869</v>
      </c>
      <c r="C27" s="7">
        <v>622</v>
      </c>
    </row>
    <row r="36" spans="1:5" x14ac:dyDescent="0.25">
      <c r="A36" s="5" t="s">
        <v>17</v>
      </c>
      <c r="B36" s="5" t="s">
        <v>22</v>
      </c>
    </row>
    <row r="37" spans="1:5" x14ac:dyDescent="0.25">
      <c r="A37" s="5" t="s">
        <v>1</v>
      </c>
      <c r="B37" t="s">
        <v>18</v>
      </c>
      <c r="C37" t="s">
        <v>19</v>
      </c>
      <c r="D37" t="s">
        <v>20</v>
      </c>
      <c r="E37" t="s">
        <v>21</v>
      </c>
    </row>
    <row r="38" spans="1:5" x14ac:dyDescent="0.25">
      <c r="A38" s="6" t="s">
        <v>2</v>
      </c>
      <c r="B38" s="8">
        <v>0.32142857142857145</v>
      </c>
      <c r="C38" s="8">
        <v>0.19607843137254902</v>
      </c>
      <c r="D38" s="8">
        <v>0.14792899408284024</v>
      </c>
      <c r="E38" s="8">
        <v>0.1125</v>
      </c>
    </row>
    <row r="39" spans="1:5" x14ac:dyDescent="0.25">
      <c r="A39" s="6" t="s">
        <v>3</v>
      </c>
      <c r="B39" s="8">
        <v>0.19047619047619047</v>
      </c>
      <c r="C39" s="8">
        <v>0.29090909090909089</v>
      </c>
      <c r="D39" s="8">
        <v>0.22959183673469388</v>
      </c>
      <c r="E39" s="8">
        <v>0.14728682170542637</v>
      </c>
    </row>
    <row r="40" spans="1:5" x14ac:dyDescent="0.25">
      <c r="A40" s="6" t="s">
        <v>4</v>
      </c>
      <c r="B40" s="8">
        <v>0.52941176470588236</v>
      </c>
      <c r="C40" s="8">
        <v>0.390625</v>
      </c>
      <c r="D40" s="8">
        <v>0.35555555555555557</v>
      </c>
      <c r="E40" s="8">
        <v>0.38297872340425532</v>
      </c>
    </row>
    <row r="41" spans="1:5" x14ac:dyDescent="0.25">
      <c r="A41" s="6" t="s">
        <v>5</v>
      </c>
      <c r="B41" s="8">
        <v>0.31034482758620691</v>
      </c>
      <c r="C41" s="8">
        <v>0.2857142857142857</v>
      </c>
      <c r="D41" s="8">
        <v>0.23232323232323232</v>
      </c>
      <c r="E41" s="8">
        <v>0.16969696969696971</v>
      </c>
    </row>
    <row r="42" spans="1:5" x14ac:dyDescent="0.25">
      <c r="A42" s="6" t="s">
        <v>6</v>
      </c>
      <c r="B42" s="8">
        <v>0.5357142857142857</v>
      </c>
      <c r="C42" s="8">
        <v>0.375</v>
      </c>
      <c r="D42" s="8">
        <v>0.41477272727272729</v>
      </c>
      <c r="E42" s="8">
        <v>0.26712328767123289</v>
      </c>
    </row>
    <row r="43" spans="1:5" x14ac:dyDescent="0.25">
      <c r="A43" s="6" t="s">
        <v>7</v>
      </c>
      <c r="B43" s="8">
        <v>0.36</v>
      </c>
      <c r="C43" s="8">
        <v>0.12903225806451613</v>
      </c>
      <c r="D43" s="8">
        <v>0.1864406779661017</v>
      </c>
      <c r="E43" s="8">
        <v>0.1554054054054054</v>
      </c>
    </row>
    <row r="45" spans="1:5" ht="18.75" x14ac:dyDescent="0.3">
      <c r="A45" s="34" t="s">
        <v>28</v>
      </c>
      <c r="B45" s="34" t="s">
        <v>18</v>
      </c>
      <c r="C45" s="34" t="s">
        <v>19</v>
      </c>
      <c r="D45" s="34" t="s">
        <v>20</v>
      </c>
      <c r="E45" s="34" t="s">
        <v>21</v>
      </c>
    </row>
    <row r="46" spans="1:5" ht="18.75" x14ac:dyDescent="0.3">
      <c r="A46" s="35" t="s">
        <v>2</v>
      </c>
      <c r="B46" s="33">
        <v>0.32142857142857145</v>
      </c>
      <c r="C46" s="33">
        <v>0.19607843137254902</v>
      </c>
      <c r="D46" s="33">
        <v>0.14792899408284024</v>
      </c>
      <c r="E46" s="33">
        <v>0.1125</v>
      </c>
    </row>
    <row r="47" spans="1:5" ht="18.75" x14ac:dyDescent="0.3">
      <c r="A47" s="35" t="s">
        <v>3</v>
      </c>
      <c r="B47" s="33">
        <v>0.19047619047619047</v>
      </c>
      <c r="C47" s="33">
        <v>0.29090909090909089</v>
      </c>
      <c r="D47" s="33">
        <v>0.22959183673469388</v>
      </c>
      <c r="E47" s="33">
        <v>0.14728682170542637</v>
      </c>
    </row>
    <row r="48" spans="1:5" ht="18.75" x14ac:dyDescent="0.3">
      <c r="A48" s="36" t="s">
        <v>4</v>
      </c>
      <c r="B48" s="33">
        <v>0.52941176470588236</v>
      </c>
      <c r="C48" s="33">
        <v>0.390625</v>
      </c>
      <c r="D48" s="33">
        <v>0.35555555555555557</v>
      </c>
      <c r="E48" s="33">
        <v>0.38297872340425532</v>
      </c>
    </row>
    <row r="49" spans="1:5" ht="18.75" x14ac:dyDescent="0.3">
      <c r="A49" s="36" t="s">
        <v>5</v>
      </c>
      <c r="B49" s="33">
        <v>0.31034482758620691</v>
      </c>
      <c r="C49" s="33">
        <v>0.2857142857142857</v>
      </c>
      <c r="D49" s="33">
        <v>0.23232323232323232</v>
      </c>
      <c r="E49" s="33">
        <v>0.16969696969696971</v>
      </c>
    </row>
    <row r="50" spans="1:5" ht="18.75" x14ac:dyDescent="0.3">
      <c r="A50" s="36" t="s">
        <v>6</v>
      </c>
      <c r="B50" s="33">
        <v>0.5357142857142857</v>
      </c>
      <c r="C50" s="33">
        <v>0.375</v>
      </c>
      <c r="D50" s="33">
        <v>0.41477272727272729</v>
      </c>
      <c r="E50" s="33">
        <v>0.26712328767123289</v>
      </c>
    </row>
    <row r="51" spans="1:5" ht="18.75" x14ac:dyDescent="0.3">
      <c r="A51" s="36" t="s">
        <v>7</v>
      </c>
      <c r="B51" s="33">
        <v>0.36</v>
      </c>
      <c r="C51" s="33">
        <v>0.12903225806451613</v>
      </c>
      <c r="D51" s="33">
        <v>0.1864406779661017</v>
      </c>
      <c r="E51" s="33">
        <v>0.1554054054054054</v>
      </c>
    </row>
    <row r="54" spans="1:5" x14ac:dyDescent="0.25">
      <c r="A54" s="5" t="s">
        <v>1</v>
      </c>
      <c r="B54" t="s">
        <v>17</v>
      </c>
    </row>
    <row r="55" spans="1:5" x14ac:dyDescent="0.25">
      <c r="A55" s="6" t="s">
        <v>23</v>
      </c>
      <c r="B55" s="8">
        <v>0.21695760598503741</v>
      </c>
    </row>
    <row r="56" spans="1:5" x14ac:dyDescent="0.25">
      <c r="A56" s="6" t="s">
        <v>24</v>
      </c>
      <c r="B56" s="8">
        <v>0.23563218390804597</v>
      </c>
    </row>
    <row r="57" spans="1:5" x14ac:dyDescent="0.25">
      <c r="A57" s="6" t="s">
        <v>25</v>
      </c>
      <c r="B57" s="8">
        <v>0.2967032967032967</v>
      </c>
    </row>
    <row r="69" spans="1:8" x14ac:dyDescent="0.25">
      <c r="A69" s="5" t="s">
        <v>17</v>
      </c>
      <c r="B69" s="5" t="s">
        <v>22</v>
      </c>
    </row>
    <row r="70" spans="1:8" x14ac:dyDescent="0.25">
      <c r="A70" s="5" t="s">
        <v>1</v>
      </c>
      <c r="B70" t="s">
        <v>23</v>
      </c>
      <c r="C70" t="s">
        <v>24</v>
      </c>
      <c r="D70" t="s">
        <v>25</v>
      </c>
    </row>
    <row r="71" spans="1:8" x14ac:dyDescent="0.25">
      <c r="A71" s="6" t="s">
        <v>2</v>
      </c>
      <c r="B71" s="8">
        <v>0.1357142857142857</v>
      </c>
      <c r="C71" s="8">
        <v>0.13385826771653545</v>
      </c>
      <c r="D71" s="8">
        <v>0.18439716312056736</v>
      </c>
      <c r="H71" s="32"/>
    </row>
    <row r="72" spans="1:8" x14ac:dyDescent="0.25">
      <c r="A72" s="6" t="s">
        <v>3</v>
      </c>
      <c r="B72" s="8">
        <v>0.1796875</v>
      </c>
      <c r="C72" s="8">
        <v>0.19696969696969696</v>
      </c>
      <c r="D72" s="8">
        <v>0.24822695035460993</v>
      </c>
      <c r="H72" s="32"/>
    </row>
    <row r="73" spans="1:8" x14ac:dyDescent="0.25">
      <c r="A73" s="6" t="s">
        <v>4</v>
      </c>
      <c r="B73" s="8">
        <v>0.33076923076923076</v>
      </c>
      <c r="C73" s="8">
        <v>0.36734693877551022</v>
      </c>
      <c r="D73" s="8">
        <v>0.44</v>
      </c>
      <c r="H73" s="32"/>
    </row>
    <row r="74" spans="1:8" x14ac:dyDescent="0.25">
      <c r="A74" s="6" t="s">
        <v>5</v>
      </c>
      <c r="B74" s="8">
        <v>0.22302158273381295</v>
      </c>
      <c r="C74" s="8">
        <v>0.20496894409937888</v>
      </c>
      <c r="D74" s="8">
        <v>0.24074074074074073</v>
      </c>
      <c r="H74" s="32"/>
    </row>
    <row r="75" spans="1:8" x14ac:dyDescent="0.25">
      <c r="A75" s="6" t="s">
        <v>6</v>
      </c>
      <c r="B75" s="8">
        <v>0.34188034188034189</v>
      </c>
      <c r="C75" s="8">
        <v>0.32500000000000001</v>
      </c>
      <c r="D75" s="8">
        <v>0.43410852713178294</v>
      </c>
      <c r="H75" s="32"/>
    </row>
    <row r="76" spans="1:8" x14ac:dyDescent="0.25">
      <c r="A76" s="6" t="s">
        <v>7</v>
      </c>
      <c r="B76" s="8">
        <v>0.12162162162162163</v>
      </c>
      <c r="C76" s="8">
        <v>0.16083916083916083</v>
      </c>
      <c r="D76" s="8">
        <v>0.26446280991735538</v>
      </c>
      <c r="H76" s="32"/>
    </row>
    <row r="77" spans="1:8" x14ac:dyDescent="0.25">
      <c r="H77" s="32"/>
    </row>
    <row r="78" spans="1:8" x14ac:dyDescent="0.25">
      <c r="H78" s="32"/>
    </row>
    <row r="79" spans="1:8" x14ac:dyDescent="0.25">
      <c r="H79" s="32"/>
    </row>
    <row r="80" spans="1:8" x14ac:dyDescent="0.25">
      <c r="H80" s="32"/>
    </row>
    <row r="81" spans="8:8" x14ac:dyDescent="0.25">
      <c r="H81" s="32"/>
    </row>
    <row r="82" spans="8:8" x14ac:dyDescent="0.25">
      <c r="H82" s="32"/>
    </row>
    <row r="83" spans="8:8" x14ac:dyDescent="0.25">
      <c r="H83" s="32"/>
    </row>
    <row r="84" spans="8:8" x14ac:dyDescent="0.25">
      <c r="H84" s="32"/>
    </row>
    <row r="85" spans="8:8" x14ac:dyDescent="0.25">
      <c r="H85" s="32"/>
    </row>
    <row r="86" spans="8:8" x14ac:dyDescent="0.25">
      <c r="H86" s="32"/>
    </row>
    <row r="87" spans="8:8" x14ac:dyDescent="0.25">
      <c r="H87" s="32"/>
    </row>
    <row r="88" spans="8:8" x14ac:dyDescent="0.25">
      <c r="H88" s="32"/>
    </row>
  </sheetData>
  <conditionalFormatting sqref="B46:E51">
    <cfRule type="colorScale" priority="1">
      <colorScale>
        <cfvo type="min"/>
        <cfvo type="max"/>
        <color rgb="FFFDA481"/>
        <color rgb="FFB41805"/>
      </colorScale>
    </cfRule>
  </conditionalFormatting>
  <pageMargins left="0.7" right="0.7" top="0.75" bottom="0.75" header="0.3" footer="0.3"/>
  <pageSetup orientation="portrait" r:id="rId6"/>
  <drawing r:id="rId7"/>
  <tableParts count="1"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BCA02A-0EE6-4CCC-A368-D1EB98B7B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2026-10-25T23:01:05Z</dcterms:modified>
</cp:coreProperties>
</file>